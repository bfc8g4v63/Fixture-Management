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elson\測試管理\治具室\測治具管理\"/>
    </mc:Choice>
  </mc:AlternateContent>
  <xr:revisionPtr revIDLastSave="0" documentId="13_ncr:1_{480FD53D-51C3-4140-A15F-83ADCE98BF81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首頁" sheetId="1" r:id="rId1"/>
    <sheet name="出入庫" sheetId="2" r:id="rId2"/>
    <sheet name="上齊" sheetId="23" r:id="rId3"/>
    <sheet name="治具庫" sheetId="3" r:id="rId4"/>
    <sheet name="線上" sheetId="20" r:id="rId5"/>
    <sheet name="睿均" sheetId="18" r:id="rId6"/>
    <sheet name="不良品" sheetId="19" r:id="rId7"/>
    <sheet name="數據庫" sheetId="4" state="hidden" r:id="rId8"/>
    <sheet name="Log" sheetId="8" state="hidden" r:id="rId9"/>
  </sheets>
  <definedNames>
    <definedName name="庫存">出入庫!$A:$G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3" l="1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2" i="4" a="1"/>
  <c r="E2" i="4" s="1"/>
  <c r="E8" i="1" l="1"/>
  <c r="E22" i="1" l="1"/>
  <c r="E18" i="1"/>
  <c r="E86" i="19"/>
  <c r="E86" i="18"/>
  <c r="E86" i="20"/>
  <c r="E86" i="3"/>
  <c r="E85" i="19"/>
  <c r="E85" i="18"/>
  <c r="E85" i="20"/>
  <c r="E85" i="3"/>
  <c r="E84" i="19" l="1"/>
  <c r="E84" i="18"/>
  <c r="E84" i="20"/>
  <c r="E84" i="3"/>
  <c r="E83" i="19"/>
  <c r="E83" i="18"/>
  <c r="E83" i="20"/>
  <c r="E83" i="3"/>
  <c r="E82" i="19"/>
  <c r="E82" i="18"/>
  <c r="E82" i="20"/>
  <c r="E82" i="3"/>
  <c r="E81" i="19" l="1"/>
  <c r="E81" i="18"/>
  <c r="E81" i="20"/>
  <c r="E81" i="3"/>
  <c r="E80" i="19" l="1"/>
  <c r="E80" i="18"/>
  <c r="E80" i="20"/>
  <c r="E80" i="3"/>
  <c r="E79" i="19"/>
  <c r="E79" i="18"/>
  <c r="E79" i="20"/>
  <c r="E79" i="3"/>
  <c r="E78" i="19"/>
  <c r="E78" i="18"/>
  <c r="E78" i="20"/>
  <c r="E78" i="3"/>
  <c r="E77" i="19" l="1"/>
  <c r="E77" i="18"/>
  <c r="E77" i="20"/>
  <c r="E77" i="3"/>
  <c r="E76" i="19"/>
  <c r="E76" i="18"/>
  <c r="E76" i="20"/>
  <c r="E76" i="3"/>
  <c r="E75" i="19"/>
  <c r="E75" i="18"/>
  <c r="E75" i="20"/>
  <c r="E75" i="3"/>
  <c r="E74" i="19" l="1"/>
  <c r="E74" i="18"/>
  <c r="E74" i="20"/>
  <c r="E74" i="3"/>
  <c r="E73" i="19"/>
  <c r="E73" i="18"/>
  <c r="E73" i="20"/>
  <c r="E73" i="3"/>
  <c r="E72" i="19"/>
  <c r="E72" i="18"/>
  <c r="E72" i="20"/>
  <c r="E72" i="3"/>
  <c r="E71" i="19"/>
  <c r="E71" i="18"/>
  <c r="E71" i="20"/>
  <c r="E71" i="3"/>
  <c r="E70" i="19"/>
  <c r="E70" i="18"/>
  <c r="E70" i="20"/>
  <c r="E70" i="3"/>
  <c r="E69" i="19"/>
  <c r="E69" i="18"/>
  <c r="E69" i="20"/>
  <c r="E69" i="3"/>
  <c r="E68" i="19"/>
  <c r="E68" i="18"/>
  <c r="E68" i="20"/>
  <c r="E68" i="3"/>
  <c r="E67" i="19" l="1"/>
  <c r="E67" i="18"/>
  <c r="E67" i="20"/>
  <c r="E67" i="3"/>
  <c r="E66" i="19"/>
  <c r="E66" i="18"/>
  <c r="E66" i="20"/>
  <c r="E66" i="3"/>
  <c r="E65" i="19"/>
  <c r="E65" i="18"/>
  <c r="E65" i="20"/>
  <c r="E65" i="3"/>
  <c r="E64" i="19" l="1"/>
  <c r="E64" i="18"/>
  <c r="E64" i="20"/>
  <c r="E64" i="3"/>
  <c r="E63" i="19" l="1"/>
  <c r="E63" i="18"/>
  <c r="E63" i="20"/>
  <c r="E63" i="3"/>
  <c r="E62" i="19"/>
  <c r="E62" i="18"/>
  <c r="E62" i="20"/>
  <c r="E62" i="3"/>
  <c r="E61" i="19"/>
  <c r="E61" i="18"/>
  <c r="E61" i="20"/>
  <c r="E61" i="3"/>
  <c r="E60" i="19" l="1"/>
  <c r="E60" i="18"/>
  <c r="E60" i="20"/>
  <c r="E60" i="3"/>
  <c r="C2" i="4" l="1" a="1"/>
  <c r="C2" i="4" s="1"/>
  <c r="E59" i="19" l="1"/>
  <c r="E59" i="18"/>
  <c r="E59" i="20"/>
  <c r="E59" i="3"/>
  <c r="E58" i="19"/>
  <c r="E58" i="18"/>
  <c r="E58" i="20"/>
  <c r="E58" i="3"/>
  <c r="E57" i="19"/>
  <c r="E57" i="18"/>
  <c r="E57" i="20"/>
  <c r="E57" i="3"/>
  <c r="E56" i="19"/>
  <c r="E56" i="18"/>
  <c r="E56" i="20"/>
  <c r="E56" i="3"/>
  <c r="E55" i="19"/>
  <c r="E55" i="18"/>
  <c r="E55" i="20"/>
  <c r="E55" i="3"/>
  <c r="E54" i="19"/>
  <c r="E54" i="18"/>
  <c r="E54" i="20"/>
  <c r="E54" i="3"/>
  <c r="E53" i="19"/>
  <c r="E53" i="18"/>
  <c r="E53" i="20"/>
  <c r="E53" i="3"/>
  <c r="E52" i="19"/>
  <c r="E52" i="18"/>
  <c r="E52" i="20"/>
  <c r="E52" i="3"/>
  <c r="E51" i="19"/>
  <c r="E51" i="18"/>
  <c r="E51" i="20"/>
  <c r="E51" i="3"/>
  <c r="E50" i="19" l="1"/>
  <c r="E50" i="18"/>
  <c r="E50" i="20"/>
  <c r="E50" i="3"/>
  <c r="E49" i="19"/>
  <c r="E49" i="18"/>
  <c r="E49" i="20"/>
  <c r="E49" i="3"/>
  <c r="E48" i="19"/>
  <c r="E48" i="18"/>
  <c r="E48" i="20"/>
  <c r="E48" i="3"/>
  <c r="E47" i="19"/>
  <c r="E47" i="18"/>
  <c r="E47" i="20"/>
  <c r="E47" i="3"/>
  <c r="E46" i="19"/>
  <c r="E46" i="18"/>
  <c r="E46" i="20"/>
  <c r="E46" i="3"/>
  <c r="E45" i="19"/>
  <c r="E45" i="18"/>
  <c r="E45" i="20"/>
  <c r="E45" i="3"/>
  <c r="E44" i="19"/>
  <c r="E44" i="18"/>
  <c r="E44" i="20"/>
  <c r="E44" i="3"/>
  <c r="E43" i="19"/>
  <c r="E43" i="18"/>
  <c r="E43" i="20"/>
  <c r="E43" i="3"/>
  <c r="E42" i="19"/>
  <c r="E42" i="18"/>
  <c r="E42" i="20"/>
  <c r="E42" i="3"/>
  <c r="E41" i="19"/>
  <c r="E41" i="18"/>
  <c r="E41" i="20"/>
  <c r="E41" i="3"/>
  <c r="E40" i="19"/>
  <c r="E40" i="18"/>
  <c r="E40" i="20"/>
  <c r="E40" i="3"/>
  <c r="E39" i="19"/>
  <c r="E39" i="18"/>
  <c r="E39" i="20"/>
  <c r="E39" i="3"/>
  <c r="E38" i="19"/>
  <c r="E38" i="18"/>
  <c r="E38" i="20"/>
  <c r="E38" i="3"/>
  <c r="E37" i="19"/>
  <c r="E37" i="18"/>
  <c r="E37" i="20"/>
  <c r="E37" i="3"/>
  <c r="E36" i="19"/>
  <c r="E36" i="18"/>
  <c r="E36" i="20"/>
  <c r="E36" i="3"/>
  <c r="E35" i="19"/>
  <c r="E35" i="18"/>
  <c r="E35" i="20"/>
  <c r="E35" i="3"/>
  <c r="E34" i="19"/>
  <c r="E34" i="18"/>
  <c r="E34" i="20"/>
  <c r="E34" i="3"/>
  <c r="E33" i="19"/>
  <c r="E33" i="18"/>
  <c r="E33" i="20"/>
  <c r="E33" i="3"/>
  <c r="E32" i="19"/>
  <c r="E32" i="18"/>
  <c r="E32" i="20"/>
  <c r="E32" i="3"/>
  <c r="E31" i="19"/>
  <c r="E31" i="18"/>
  <c r="E31" i="20"/>
  <c r="E31" i="3"/>
  <c r="E30" i="19"/>
  <c r="E30" i="18"/>
  <c r="E30" i="20"/>
  <c r="E30" i="3"/>
  <c r="E29" i="19"/>
  <c r="E29" i="18"/>
  <c r="E29" i="20"/>
  <c r="E29" i="3"/>
  <c r="E28" i="19"/>
  <c r="E28" i="18"/>
  <c r="E28" i="20"/>
  <c r="E28" i="3"/>
  <c r="E27" i="19"/>
  <c r="E27" i="18"/>
  <c r="E27" i="20"/>
  <c r="E27" i="3"/>
  <c r="E26" i="19"/>
  <c r="E26" i="18"/>
  <c r="E26" i="20"/>
  <c r="E26" i="3"/>
  <c r="E25" i="19"/>
  <c r="E25" i="18"/>
  <c r="E25" i="20"/>
  <c r="E25" i="3"/>
  <c r="E24" i="19"/>
  <c r="E24" i="18"/>
  <c r="E24" i="20"/>
  <c r="E24" i="3"/>
  <c r="E23" i="19"/>
  <c r="E23" i="18"/>
  <c r="E23" i="20"/>
  <c r="E23" i="3"/>
  <c r="E22" i="19" l="1"/>
  <c r="E22" i="18"/>
  <c r="E22" i="20"/>
  <c r="E22" i="3"/>
  <c r="E21" i="19"/>
  <c r="E21" i="18"/>
  <c r="E21" i="20"/>
  <c r="E21" i="3"/>
  <c r="E20" i="19"/>
  <c r="E20" i="18"/>
  <c r="E20" i="20"/>
  <c r="E20" i="3"/>
  <c r="E19" i="19"/>
  <c r="E19" i="18"/>
  <c r="E19" i="20"/>
  <c r="E19" i="3"/>
  <c r="E18" i="19"/>
  <c r="E18" i="18"/>
  <c r="E18" i="20"/>
  <c r="E18" i="3"/>
  <c r="E17" i="19" l="1"/>
  <c r="E17" i="18"/>
  <c r="E17" i="20"/>
  <c r="E17" i="3"/>
  <c r="E16" i="19"/>
  <c r="E16" i="18"/>
  <c r="E16" i="20"/>
  <c r="E16" i="3"/>
  <c r="E15" i="19"/>
  <c r="E15" i="18"/>
  <c r="E15" i="20"/>
  <c r="E15" i="3"/>
  <c r="E14" i="19" l="1"/>
  <c r="E14" i="18"/>
  <c r="E14" i="20"/>
  <c r="E14" i="3"/>
  <c r="E13" i="19"/>
  <c r="E13" i="18"/>
  <c r="E13" i="20"/>
  <c r="E13" i="3"/>
  <c r="E12" i="19" l="1"/>
  <c r="E12" i="18"/>
  <c r="E12" i="20"/>
  <c r="E12" i="3"/>
  <c r="E11" i="19"/>
  <c r="E11" i="18"/>
  <c r="E11" i="20"/>
  <c r="E11" i="3"/>
  <c r="E10" i="19"/>
  <c r="E10" i="18"/>
  <c r="E10" i="20"/>
  <c r="E10" i="3"/>
  <c r="E9" i="19"/>
  <c r="E9" i="18"/>
  <c r="E9" i="20"/>
  <c r="E9" i="3"/>
  <c r="E8" i="19"/>
  <c r="E8" i="18"/>
  <c r="E8" i="20"/>
  <c r="E8" i="3"/>
  <c r="E7" i="19"/>
  <c r="E7" i="18"/>
  <c r="E7" i="20"/>
  <c r="E7" i="3"/>
  <c r="E6" i="19"/>
  <c r="E6" i="18"/>
  <c r="E6" i="20"/>
  <c r="E6" i="3"/>
  <c r="E5" i="19"/>
  <c r="E5" i="18"/>
  <c r="E5" i="20"/>
  <c r="E5" i="3"/>
  <c r="E4" i="19"/>
  <c r="E4" i="18"/>
  <c r="E4" i="20"/>
  <c r="E4" i="3"/>
  <c r="E3" i="19"/>
  <c r="E3" i="18"/>
  <c r="E3" i="20"/>
  <c r="E3" i="3"/>
  <c r="E2" i="19"/>
  <c r="E2" i="18"/>
  <c r="E2" i="20"/>
  <c r="E2" i="3"/>
  <c r="E20" i="1" l="1"/>
  <c r="E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<sst xmlns="http://schemas.openxmlformats.org/spreadsheetml/2006/main" count="1823" uniqueCount="341">
  <si>
    <t>日期</t>
    <phoneticPr fontId="1" type="noConversion"/>
  </si>
  <si>
    <t>料號</t>
    <phoneticPr fontId="1" type="noConversion"/>
  </si>
  <si>
    <t>品名</t>
    <phoneticPr fontId="1" type="noConversion"/>
  </si>
  <si>
    <t>規格</t>
    <phoneticPr fontId="1" type="noConversion"/>
  </si>
  <si>
    <t>出入庫</t>
    <phoneticPr fontId="1" type="noConversion"/>
  </si>
  <si>
    <t>數量</t>
    <phoneticPr fontId="1" type="noConversion"/>
  </si>
  <si>
    <t>目的</t>
    <phoneticPr fontId="1" type="noConversion"/>
  </si>
  <si>
    <t>入庫</t>
    <phoneticPr fontId="1" type="noConversion"/>
  </si>
  <si>
    <t>出庫</t>
    <phoneticPr fontId="1" type="noConversion"/>
  </si>
  <si>
    <t>新購</t>
    <phoneticPr fontId="1" type="noConversion"/>
  </si>
  <si>
    <t>入庫</t>
  </si>
  <si>
    <t>盤點</t>
    <phoneticPr fontId="1" type="noConversion"/>
  </si>
  <si>
    <t>來源</t>
    <phoneticPr fontId="1" type="noConversion"/>
  </si>
  <si>
    <t>儲位</t>
    <phoneticPr fontId="1" type="noConversion"/>
  </si>
  <si>
    <r>
      <rPr>
        <sz val="16"/>
        <rFont val="新細明體"/>
        <family val="1"/>
        <charset val="136"/>
      </rPr>
      <t>料號</t>
    </r>
    <phoneticPr fontId="1" type="noConversion"/>
  </si>
  <si>
    <t>在庫量</t>
    <phoneticPr fontId="1" type="noConversion"/>
  </si>
  <si>
    <t>安全庫存</t>
    <phoneticPr fontId="1" type="noConversion"/>
  </si>
  <si>
    <t>睿均</t>
    <phoneticPr fontId="1" type="noConversion"/>
  </si>
  <si>
    <t>不良品</t>
    <phoneticPr fontId="1" type="noConversion"/>
  </si>
  <si>
    <t>出入</t>
    <phoneticPr fontId="1" type="noConversion"/>
  </si>
  <si>
    <t>建立表單UI、Icon、設計排版。</t>
    <phoneticPr fontId="1" type="noConversion"/>
  </si>
  <si>
    <t>線上</t>
    <phoneticPr fontId="1" type="noConversion"/>
  </si>
  <si>
    <t>建立各類功能表單。</t>
    <phoneticPr fontId="1" type="noConversion"/>
  </si>
  <si>
    <t>編譯 建料功能、料號檢查、儲位檢查、欄位檢查。</t>
    <phoneticPr fontId="1" type="noConversion"/>
  </si>
  <si>
    <t>編譯 清除、Today功能。</t>
    <phoneticPr fontId="1" type="noConversion"/>
  </si>
  <si>
    <t>編譯 產生隨機料號功能、產生儲位功能。</t>
    <phoneticPr fontId="1" type="noConversion"/>
  </si>
  <si>
    <t>建立動態陣列、儲位異常除錯。</t>
    <phoneticPr fontId="1" type="noConversion"/>
  </si>
  <si>
    <t>編譯 各庫庫存、庫存檢查。</t>
    <phoneticPr fontId="1" type="noConversion"/>
  </si>
  <si>
    <t>Patch Note</t>
    <phoneticPr fontId="1" type="noConversion"/>
  </si>
  <si>
    <t>CMD</t>
    <phoneticPr fontId="1" type="noConversion"/>
  </si>
  <si>
    <t>庫存運算異常 編譯新原則</t>
    <phoneticPr fontId="1" type="noConversion"/>
  </si>
  <si>
    <t>儲位功能異常 修改原則</t>
    <phoneticPr fontId="1" type="noConversion"/>
  </si>
  <si>
    <t>CABLE DEVICE USB A TYPE MALE TO USB C TYPE MALE 1000MM</t>
  </si>
  <si>
    <t>ADAPTOR 100~240V DC PLUG 1.7MM 9V/4.5A PW04-945A</t>
  </si>
  <si>
    <t>CABLE FOR VEGA3000 RJ9 MALE 4P4C TO DB9P FEMALE L:1500MM</t>
  </si>
  <si>
    <t>v1.0.0</t>
    <phoneticPr fontId="1" type="noConversion"/>
  </si>
  <si>
    <t>Verson</t>
    <phoneticPr fontId="1" type="noConversion"/>
  </si>
  <si>
    <t>v1.0.3</t>
  </si>
  <si>
    <t>v1.0.4</t>
  </si>
  <si>
    <t>v1.0.5</t>
  </si>
  <si>
    <t>v1.0.6</t>
  </si>
  <si>
    <t>資料驗證異常 Debug</t>
    <phoneticPr fontId="1" type="noConversion"/>
  </si>
  <si>
    <t>(工廠測試用)CABLE FOR U1B USB A TYPE MALE AND USB A TYPE FEMALE TO HSG 2X5P 2.0PITCH MALE L:750MM</t>
  </si>
  <si>
    <t>臺璟_OD3.5_28AWG</t>
  </si>
  <si>
    <t>盤點</t>
  </si>
  <si>
    <t>v1.0.7</t>
  </si>
  <si>
    <t>(已不交易)伸銓_28AWG OD:6.7MM 197-C016-011</t>
  </si>
  <si>
    <t>(用完為止，禁止採購)CABLE RJ11/RJ11-6P 160cm</t>
  </si>
  <si>
    <t>出庫</t>
  </si>
  <si>
    <t>線上</t>
  </si>
  <si>
    <t>CABLE POWER CORD 美規</t>
  </si>
  <si>
    <t>(已不交易)SVT 3*18AWG 60°C 6FT BLACK</t>
  </si>
  <si>
    <t>CABLE FOR U1B HSG 2X5P 2.0PITCH MALE TO USB B TYPE 4P FEMALE AND USB B TYPE 4P FEMALE L:750MM</t>
  </si>
  <si>
    <t>AWG:28/28 OD:3.8</t>
  </si>
  <si>
    <t>CABLE FOR U1B HSG 2X3P 4.2PITCH FEMALE TO HSG 2X4P 2.0PITCH MALE L:750MM</t>
  </si>
  <si>
    <t>AWG: 24 OD:2.5X9.5</t>
  </si>
  <si>
    <t>DOE6_崑仰_線長1500MM_無CORE_移除CCC標示_4.0*1.7*8.5MM</t>
  </si>
  <si>
    <t xml:space="preserve"> </t>
    <phoneticPr fontId="1" type="noConversion"/>
  </si>
  <si>
    <t>錫樽_PU_56K_22/28AWG_無GND PIN</t>
  </si>
  <si>
    <t>退庫</t>
    <phoneticPr fontId="1" type="noConversion"/>
  </si>
  <si>
    <t>CABLE FOR UPT USB B TYPE 4P MALE TO USB A TYPE 4P FEMALE AND USB A TYPE 4P MALE L:300MM</t>
  </si>
  <si>
    <t>UPT CABLE UL2725 28/28AWG OD:3.0MM BLACK</t>
  </si>
  <si>
    <t>圖片</t>
    <phoneticPr fontId="1" type="noConversion"/>
  </si>
  <si>
    <t>PHILIPS 飛利浦 有線數字鍵盤 SPK6106</t>
  </si>
  <si>
    <t>連接方式：USB有線 線材長度：1.5m</t>
  </si>
  <si>
    <t>(用完為止，禁止採購)CABLE USB A MALE TO USB B MALE L:1000mm</t>
  </si>
  <si>
    <t>(已不交易)昶揚電子 CY-AS-HK0036 USB 2.0 AM TO BM</t>
  </si>
  <si>
    <t>(用完為止，禁止採購)CABLE DC 4.0*1.7 FEMALE TO DC 4.0*1.7 MALE AND DC 4.0*1.7 MALE L:350MM</t>
  </si>
  <si>
    <t>(已不交易)工程需求 UL1185 16AWG*1C+S OD 3.5 BLACK</t>
  </si>
  <si>
    <t>v1.0.8</t>
    <phoneticPr fontId="1" type="noConversion"/>
  </si>
  <si>
    <t>不良品儲位</t>
    <phoneticPr fontId="1" type="noConversion"/>
  </si>
  <si>
    <t>不良儲位分配寫入異常</t>
    <phoneticPr fontId="1" type="noConversion"/>
  </si>
  <si>
    <t>v1.0.9</t>
  </si>
  <si>
    <t>N001</t>
    <phoneticPr fontId="1" type="noConversion"/>
  </si>
  <si>
    <t>N002</t>
  </si>
  <si>
    <t>N003</t>
  </si>
  <si>
    <t>N004</t>
  </si>
  <si>
    <t>N005</t>
  </si>
  <si>
    <t>N006</t>
  </si>
  <si>
    <t>N007</t>
  </si>
  <si>
    <t>N008</t>
  </si>
  <si>
    <t>N009</t>
  </si>
  <si>
    <t>N010</t>
  </si>
  <si>
    <t>N011</t>
  </si>
  <si>
    <t>N012</t>
  </si>
  <si>
    <t>N013</t>
  </si>
  <si>
    <t>N014</t>
  </si>
  <si>
    <t>N015</t>
  </si>
  <si>
    <t>CABLE ETHERNET RJ45 8P8C MALE L:5000MM</t>
  </si>
  <si>
    <t>OD5.3_24AWG_黑色</t>
  </si>
  <si>
    <r>
      <t>OD5.3_24AWG_</t>
    </r>
    <r>
      <rPr>
        <sz val="12"/>
        <rFont val="細明體"/>
        <family val="3"/>
        <charset val="136"/>
      </rPr>
      <t>黑色</t>
    </r>
  </si>
  <si>
    <t>CABLE ETHERNET RJ45 8P8C MALE L:2000MM</t>
  </si>
  <si>
    <t>OD5.3_24AWG_藍色</t>
  </si>
  <si>
    <t>N016</t>
  </si>
  <si>
    <t>圖片位置</t>
    <phoneticPr fontId="1" type="noConversion"/>
  </si>
  <si>
    <t>圖片名稱</t>
    <phoneticPr fontId="1" type="noConversion"/>
  </si>
  <si>
    <t>(試產階段待RD驗證)S2L POWER BOX</t>
  </si>
  <si>
    <t>(試產階段待RD驗證)USB OTG/RS232</t>
  </si>
  <si>
    <t>N017</t>
  </si>
  <si>
    <t>CABLE FOR V3P2 RJ50 10P10C MALE TO USB A TYPE 4P MALE AND MICRO USB 5P FEMALE L:3000MM</t>
  </si>
  <si>
    <t>已修正SHELL對地_AWG:24/28</t>
  </si>
  <si>
    <t>N018</t>
  </si>
  <si>
    <t>CABLE RJ45 8P8C FEMALE AND MICRO USB 5P FEMALE TO RJ50 10P10C MALE AND DB9P MALE L:1800MM</t>
  </si>
  <si>
    <t>24/28_OD6.0</t>
  </si>
  <si>
    <t>N019</t>
  </si>
  <si>
    <t>N020</t>
  </si>
  <si>
    <t>CABLE USB A TYPE FEMALE TO USB C TYPE MALE L:1000MM</t>
  </si>
  <si>
    <t xml:space="preserve">E309675 2725 </t>
  </si>
  <si>
    <t>N021</t>
  </si>
  <si>
    <t>N022</t>
  </si>
  <si>
    <t>加入料號建立時確認資料功能。</t>
    <phoneticPr fontId="1" type="noConversion"/>
  </si>
  <si>
    <t>修正外倉儲位寫入規則。</t>
    <phoneticPr fontId="1" type="noConversion"/>
  </si>
  <si>
    <t>新增檢查出入庫來源。</t>
    <phoneticPr fontId="1" type="noConversion"/>
  </si>
  <si>
    <t>修改邏輯 不良儲位在建料時一起分配且產生及建立時皆需檢查。</t>
    <phoneticPr fontId="1" type="noConversion"/>
  </si>
  <si>
    <t>修正 不良品儲位寫入History 錯誤。</t>
    <phoneticPr fontId="1" type="noConversion"/>
  </si>
  <si>
    <t>CABLE USB 2.0 A MALE TO A FEMALE L:2000MM</t>
  </si>
  <si>
    <t>CABLE FOR S1E-UPT HSG 2X3P 4.2PITCH MALE TO HSG 2X3P 4.2PITCH MALE AND HSG 2X3P 4.2PITCH FEMALE L:1000MM</t>
  </si>
  <si>
    <t>臺璟_AWG:22AWG_OD5.8</t>
  </si>
  <si>
    <t>N023</t>
  </si>
  <si>
    <t>N024</t>
  </si>
  <si>
    <t>BARCODE SCANNER 1504A 2D(HD)</t>
  </si>
  <si>
    <t>恆城</t>
  </si>
  <si>
    <t>N025</t>
  </si>
  <si>
    <t>USB 2.0 A MALE TO USB 2.0 C MALE 90L L:2000MM</t>
  </si>
  <si>
    <t>CABLE FOR UPT1000 DC JACK 4.0*1.7MM TO MINI-FIT 4.2MM MALE 6P L:150MM</t>
  </si>
  <si>
    <t>臺璟_UPT1000 CABLE UL2464 18AWG OD:5.5MM BLACK</t>
  </si>
  <si>
    <t>N026</t>
  </si>
  <si>
    <t>N027</t>
  </si>
  <si>
    <t>TOTO LINK U1000 USB3.0 TO RJ45 GIGABIT網路卡</t>
  </si>
  <si>
    <t>修改查詢功能結構、關閉自動跳轉。</t>
    <phoneticPr fontId="1" type="noConversion"/>
  </si>
  <si>
    <t>修正查詢新邏輯範圍以致清除&lt;C26:J判定的致命錯誤。</t>
    <phoneticPr fontId="1" type="noConversion"/>
  </si>
  <si>
    <t>修改查詢結果為最新50筆、修改清除資料範圍。</t>
    <phoneticPr fontId="1" type="noConversion"/>
  </si>
  <si>
    <t>條件錯誤致清除&lt;C26:J</t>
    <phoneticPr fontId="1" type="noConversion"/>
  </si>
  <si>
    <t>N028</t>
  </si>
  <si>
    <t>CABLE FOR V3 PINPAD USB A TYPE MALE AND DC JACK FEMALE TO RJ12 6P6C L:1500MM</t>
  </si>
  <si>
    <t>有CORE_OD:4.5 28/24AWG_7-ELEVEN案子</t>
  </si>
  <si>
    <t>BATTERY LI-ION S1-26H 2S1P 7.26V~8.4V 2550mAH</t>
  </si>
  <si>
    <t>KAYO_S1F_ICR18650-26J_2550mAH_新增UKCA認證</t>
  </si>
  <si>
    <t>N029</t>
  </si>
  <si>
    <t>ADAPTOR 100~240V USB 5V/2A US 1A52-UB52A</t>
  </si>
  <si>
    <t>DOE6_美規_崑仰_DC 5V/2A(黑色)_雷雕QRCODE_PSE更換代理商</t>
  </si>
  <si>
    <t>N030</t>
  </si>
  <si>
    <t>(用完為止，禁止採購)CABLE RJ11 6P6C to DC TO RJ45 8P8C L:1520mm</t>
  </si>
  <si>
    <t>(已不交易)錫樽T-0115 8P8C/SR/6P6C+DC5.5*2.1</t>
  </si>
  <si>
    <t>N031</t>
  </si>
  <si>
    <t>ADAPTOR 100~240V DC PLUG 2.1MM 12V/1A 1A72-1210</t>
  </si>
  <si>
    <t>DOE6_崑仰_線長1500MM_無CORE_美規_PSE_有共模濾波器_標準品_雙芯包線_SR 32MM_5.5*2.1*12MM</t>
  </si>
  <si>
    <t>N032</t>
  </si>
  <si>
    <t>CABLE DB9P FEMALE AND DC JACK 5.5*2.1MM FEMALE AND USB A TYPE MALE AND RJ45 8P8C FEMALE TO HSG 2X7P 2.0PITCH L:2000MM</t>
  </si>
  <si>
    <t>錫樽_22/26/28AWG_OD7.5</t>
  </si>
  <si>
    <t>N033</t>
  </si>
  <si>
    <t>CABLE FOR S1U2 DC JACK 4.0*1.7MM FEMALE TO HSG 2X10P 2.0PITCH L:1450MM</t>
  </si>
  <si>
    <t>合鑫_18AWG_OD4.5</t>
  </si>
  <si>
    <t>N034</t>
  </si>
  <si>
    <t>CABLE FOR S1U2 HSG 4.2PITCH 2X3P FEMALE AND RJ45 8P8C FEMALE X2 TO HSG 2X10P 2.0PITCH L:750MM</t>
  </si>
  <si>
    <t>合鑫_S1U2_OD5.8_22/26AWG_無鹵</t>
  </si>
  <si>
    <t>N035</t>
  </si>
  <si>
    <t>FOR VEGA3000 DOWNLOAD CABLE 26AWG</t>
  </si>
  <si>
    <t>CABLE DB9P FEMALE TO RJ12 6P6C MALE L:1650MM</t>
  </si>
  <si>
    <t>合鑫_28/26AWG_OD3.6_W_CORE_不供電</t>
  </si>
  <si>
    <t>◆CABLE MICRO USB 5P MALE TO USB A TYPE 4P MALE 1000MM</t>
  </si>
  <si>
    <t>24/28AWG OD4.5_增加夾持力_MICRO USB插入長度5.9MM</t>
  </si>
  <si>
    <t>N036</t>
  </si>
  <si>
    <t>CABLE FOR UPT1000 RJ45 8P MALE TO DB9P FEMALE L:2000MM</t>
  </si>
  <si>
    <t>UPT1000 CABLE UL2464 26AWG OD:4.5MM GRAY</t>
  </si>
  <si>
    <t>ADAPTOR 100~240V 4PIN PLUG 24V/2.71A ATS065T-P241</t>
  </si>
  <si>
    <t>阿達特_線長1200MM_有CORE_標準品</t>
  </si>
  <si>
    <t>(用完為止，禁止採購)CABLE FOR QP3000E/QP3000S DB9P FEMALE AND DC5.5x2.1 JACK TO HSG 8P 2.0PITCH 22AWG OD4.4 1870MM Y-CABLE</t>
  </si>
  <si>
    <t>(已不交易)FB02464EAB063001</t>
  </si>
  <si>
    <t>N037</t>
  </si>
  <si>
    <t>(用完為止，禁止採購)CABLE FOR QP3000E USB A TYPE MALE X2 TO HSG 12P 1.25PITCH AND HSG 8P 2.0PITCH 22AWG OD4.8 1570MM</t>
  </si>
  <si>
    <t>(已不交易)合鑫</t>
  </si>
  <si>
    <t>N038</t>
  </si>
  <si>
    <t>N039</t>
  </si>
  <si>
    <t>CABLE DEVICE USB A TYPE MALE TO USB C TYPE MALE AND SWITCH 1000MM</t>
  </si>
  <si>
    <t>N040</t>
  </si>
  <si>
    <t>ADAPTOR 100~240V DC PLUG 1.7MM 9V/4.5A PW04-945A</t>
    <phoneticPr fontId="1" type="noConversion"/>
  </si>
  <si>
    <t>DOE6_崑仰_線長1500MM_無CORE_移除CCC標示_4.0*1.7*8.5MM</t>
    <phoneticPr fontId="1" type="noConversion"/>
  </si>
  <si>
    <t>ADAPTOR 100~240V DC PLUG 1.7MM 9V/4.5A PW04-945A AND METER</t>
  </si>
  <si>
    <t>合鑫_S1U2_OD5.8_22/26AWG</t>
  </si>
  <si>
    <t>N041</t>
  </si>
  <si>
    <t>(用完為止，禁止採購)CABLE US-101-232 USB TO 232</t>
  </si>
  <si>
    <t>(已不交易)</t>
  </si>
  <si>
    <t>N042</t>
  </si>
  <si>
    <r>
      <rPr>
        <sz val="12"/>
        <rFont val="新細明體"/>
        <family val="2"/>
        <charset val="136"/>
      </rPr>
      <t>宣帆</t>
    </r>
    <r>
      <rPr>
        <sz val="12"/>
        <rFont val="Calibri"/>
        <family val="2"/>
      </rPr>
      <t>-</t>
    </r>
    <r>
      <rPr>
        <sz val="12"/>
        <rFont val="新細明體"/>
        <family val="2"/>
        <charset val="136"/>
      </rPr>
      <t xml:space="preserve">加工 </t>
    </r>
    <r>
      <rPr>
        <sz val="12"/>
        <rFont val="Calibri"/>
        <family val="2"/>
      </rPr>
      <t>DOE6_</t>
    </r>
    <r>
      <rPr>
        <sz val="12"/>
        <rFont val="微軟正黑體"/>
        <family val="2"/>
        <charset val="136"/>
      </rPr>
      <t>崑仰</t>
    </r>
    <r>
      <rPr>
        <sz val="12"/>
        <rFont val="Calibri"/>
        <family val="2"/>
      </rPr>
      <t>_</t>
    </r>
    <r>
      <rPr>
        <sz val="12"/>
        <rFont val="微軟正黑體"/>
        <family val="2"/>
        <charset val="136"/>
      </rPr>
      <t>線長</t>
    </r>
    <r>
      <rPr>
        <sz val="12"/>
        <rFont val="Calibri"/>
        <family val="2"/>
      </rPr>
      <t>1500MM_</t>
    </r>
    <r>
      <rPr>
        <sz val="12"/>
        <rFont val="微軟正黑體"/>
        <family val="2"/>
        <charset val="136"/>
      </rPr>
      <t>無</t>
    </r>
    <r>
      <rPr>
        <sz val="12"/>
        <rFont val="Calibri"/>
        <family val="2"/>
      </rPr>
      <t>CORE_</t>
    </r>
    <r>
      <rPr>
        <sz val="12"/>
        <rFont val="微軟正黑體"/>
        <family val="2"/>
        <charset val="136"/>
      </rPr>
      <t>移除</t>
    </r>
    <r>
      <rPr>
        <sz val="12"/>
        <rFont val="Calibri"/>
        <family val="2"/>
      </rPr>
      <t>CCC</t>
    </r>
    <r>
      <rPr>
        <sz val="12"/>
        <rFont val="微軟正黑體"/>
        <family val="2"/>
        <charset val="136"/>
      </rPr>
      <t>標示</t>
    </r>
    <r>
      <rPr>
        <sz val="12"/>
        <rFont val="Calibri"/>
        <family val="2"/>
      </rPr>
      <t>_4.0*1.7*8.5MM</t>
    </r>
    <phoneticPr fontId="1" type="noConversion"/>
  </si>
  <si>
    <t>宣帆-加工 DOE6_崑仰_線長1500MM_無CORE_移除CCC標示_4.0*1.7*8.5MM</t>
    <phoneticPr fontId="1" type="noConversion"/>
  </si>
  <si>
    <t>CABLE DB9P FEMALE AND USB A TYPE MALE TO HSG 13P 1.0PITCH L=1000MM</t>
  </si>
  <si>
    <t>CABLE DB9P FEMALE AND USB A TYPE MALE TO HSG 13P 1.0PITCH L=1000MM</t>
    <phoneticPr fontId="1" type="noConversion"/>
  </si>
  <si>
    <t>錫樽_OD4.5_30AWG</t>
  </si>
  <si>
    <t>N043</t>
  </si>
  <si>
    <t>N044</t>
  </si>
  <si>
    <t>CABLE DB9P FEMALE AND USB A TYPE MALE AND USB A TYPE FEMALE TO HSG 13P 1.0PITCH L=1000MM</t>
  </si>
  <si>
    <t>BATTERY LI-ION INR18650 3.7V~4.2V 3100mAH(MIN)</t>
  </si>
  <si>
    <t>V3M2_嘉洋_1S1P_EEPROM_移除BIS認證</t>
  </si>
  <si>
    <t>N045</t>
  </si>
  <si>
    <t>v1.0.1</t>
    <phoneticPr fontId="1" type="noConversion"/>
  </si>
  <si>
    <t>v1.0.2</t>
    <phoneticPr fontId="1" type="noConversion"/>
  </si>
  <si>
    <t>不良品儲位。</t>
    <phoneticPr fontId="1" type="noConversion"/>
  </si>
  <si>
    <t>N046</t>
  </si>
  <si>
    <t>CABLE USB A MALE TO USB A MALE 750MM</t>
  </si>
  <si>
    <t>USB 2.0 AM TO AM</t>
  </si>
  <si>
    <t>CABLE FOR MP200 MICRO USB 5P MALE TO USB A-TYPE 4P FEMALE AND USB A-TYPE 4P MALE L:300MM</t>
  </si>
  <si>
    <t>FOR MP200 28/28AWG</t>
  </si>
  <si>
    <t>N047</t>
  </si>
  <si>
    <t>ADAPTOR 100~240V DC PLUG 1.35MM 5V/2A S012-1B050200VU</t>
  </si>
  <si>
    <t>DOE6_邁思普_線長1500MM_美規_3.5*1.35*8.5MM</t>
  </si>
  <si>
    <t>N048</t>
  </si>
  <si>
    <t>N049</t>
  </si>
  <si>
    <t>ADAPTOR 100~240V DC PLUG 2.1MM 12V/1A 1A72-1210</t>
    <phoneticPr fontId="1" type="noConversion"/>
  </si>
  <si>
    <t>(工廠測試用)CABLE RJ45 8P8C FEMALE AND RJ45 8P8C FEMALE TO HSG 2X6P 2.0PITCH L:300MM</t>
  </si>
  <si>
    <t>錫樽_AWG:26_OD4.0</t>
  </si>
  <si>
    <t>(用完為止，禁止採購)CABLE FOR V3P2 USB A TYPE 4P MALE TO RJ12 6P6C L:1500MM</t>
  </si>
  <si>
    <t>(僅供7-11使用)24/28AWG</t>
  </si>
  <si>
    <t>N050</t>
  </si>
  <si>
    <t>CABLE FOR V3 UL RJ11 6P6C MALE TO DB9 9P FEMALE AND USB A TYPE 4P MALE L:1500MM</t>
  </si>
  <si>
    <t>V3 UL 生產測試 24/28AWG</t>
  </si>
  <si>
    <t>N051</t>
  </si>
  <si>
    <t>CABLE USB A TYPE 4P MALE X2 TO RJ12 6P6C MALE L:1200MM</t>
  </si>
  <si>
    <t>有CORE_OD:4.5_28/24AWG_M-3522-D_V3UL2</t>
  </si>
  <si>
    <t>N052</t>
  </si>
  <si>
    <t>CABLE FOR V3UL KLD USB A TYPE MALE TO RJ11 6P6C AND USB A TYPE FEMALE L:1500MM</t>
  </si>
  <si>
    <t>合鑫_24AWG/28AWG/OD:4.5</t>
  </si>
  <si>
    <t>N053</t>
  </si>
  <si>
    <t>CABLE DB9P FEMALE AND` TYPE MALE AND USB A TYPE FEMALE TO HSG 13P 1.0PITCH L=1000MM</t>
    <phoneticPr fontId="1" type="noConversion"/>
  </si>
  <si>
    <t>N054</t>
  </si>
  <si>
    <t>28/24AWG OD:4.0MM</t>
  </si>
  <si>
    <t>CABLE USB A TYPE 4P MALE TO MICRO USB 5P MALE L:1500M</t>
  </si>
  <si>
    <t>AWG:28/24 0D:4.5MM</t>
  </si>
  <si>
    <t>N055</t>
  </si>
  <si>
    <t>CABLE DEVICE USB A TYPE MALE TO USB C TYPE MALE 90D L=1500MM</t>
  </si>
  <si>
    <t>合鑫_PU_56K_28/22AWG_OD4.8_黑_無GND PIN</t>
  </si>
  <si>
    <t>N056</t>
  </si>
  <si>
    <t>ADAPTOR 100~240V DC PLUG 1.35MM 5V/2A 4A52-SR52A</t>
  </si>
  <si>
    <t>DOE6_崑仰_線長1500MM_英規_AC端180度_DC端90度_增加UKCA標示_8.5MM_3.5*1.35*8.5MM</t>
  </si>
  <si>
    <t>N057</t>
  </si>
  <si>
    <t>R:CABLE USB A TYPE FEMALE TO MINI USB B TYPE MALE  L:100MM</t>
  </si>
  <si>
    <t>CABLE FOR S1E USB TYPE A FEMALE TO USB TYPE C MALE L:300MM</t>
  </si>
  <si>
    <t>AWG24/28 工程需求OTG CABLE</t>
  </si>
  <si>
    <t>N058</t>
  </si>
  <si>
    <t>料號圖片功能插入工具開發，待網路磁碟權限開放測試。</t>
    <phoneticPr fontId="1" type="noConversion"/>
  </si>
  <si>
    <t>新增上齊倉別。</t>
    <phoneticPr fontId="1" type="noConversion"/>
  </si>
  <si>
    <t>新增備註寫入功能 For 固定資產。</t>
    <phoneticPr fontId="1" type="noConversion"/>
  </si>
  <si>
    <t>N059</t>
  </si>
  <si>
    <t>USB 2.0 AM to AF 28/24 1m 透明外被</t>
  </si>
  <si>
    <t>2824 L:1000MM</t>
  </si>
  <si>
    <t>3孔 六切六座 電源延長線 2.7M</t>
  </si>
  <si>
    <t>N060</t>
  </si>
  <si>
    <t>BATTERY LI-ION 3.85~4.4V 2600mAh</t>
  </si>
  <si>
    <t>江西德臻新能源_AMS1_新增澳規RCM認證</t>
  </si>
  <si>
    <t>N061</t>
  </si>
  <si>
    <t>ADATA 威剛 UV350 32GB USB 3.2</t>
  </si>
  <si>
    <t>N062</t>
  </si>
  <si>
    <t>N063</t>
  </si>
  <si>
    <t>中階電腦主機(舊)</t>
  </si>
  <si>
    <t>CPU I5-12400,GTX 730,MEM 16G</t>
  </si>
  <si>
    <t>產線電腦鍵盤</t>
  </si>
  <si>
    <t>N064</t>
  </si>
  <si>
    <t>N065</t>
  </si>
  <si>
    <t>產線電腦滑鼠</t>
  </si>
  <si>
    <t>產線電腦螢幕</t>
  </si>
  <si>
    <t>N066</t>
  </si>
  <si>
    <t>PCI-E 轉 USB 3.0 擴充卡 高速 7-PORT接口</t>
  </si>
  <si>
    <t>N067</t>
  </si>
  <si>
    <t>N068</t>
  </si>
  <si>
    <t>N069</t>
  </si>
  <si>
    <t>N070</t>
  </si>
  <si>
    <t>CABLE FOR S1U2-M4 USB C TYPE FEMALE AND USB A TYPE FEMALE AND RJ45 8P8C FEMALE X2 TO HSG 2X8P 1.0PITCH MALE L:220MM</t>
  </si>
  <si>
    <t>合鑫_28AWG_OD7.6</t>
  </si>
  <si>
    <t>N071</t>
  </si>
  <si>
    <t>新購</t>
  </si>
  <si>
    <t>(齊粵供應)FPC MODULE SMT MINI-SIM-TO-MINI-SIM-EXTENDER-BOARD-2511</t>
  </si>
  <si>
    <t>(客製品)CABLE FOR S1U2-M4 DONGLE RJ45 8P8C FEMALE TO HSG 2X5P 1.0PITCH MALE L:120MM</t>
  </si>
  <si>
    <t>(不含PCBA)合鑫_28AWG_OD0.8</t>
  </si>
  <si>
    <t>N072</t>
  </si>
  <si>
    <t>N073</t>
  </si>
  <si>
    <t>(齊粵供應)FPC MODULE SMT SATURN1000E4-PRO-BARCODE-FPC-2510</t>
  </si>
  <si>
    <t>N074</t>
  </si>
  <si>
    <t>三用電錶1820N</t>
  </si>
  <si>
    <t>4G SIM CARD</t>
  </si>
  <si>
    <t>N075</t>
  </si>
  <si>
    <t>MEMORY CARD MICRO SD 8GBYTE CLASS4</t>
  </si>
  <si>
    <t>SDSDQAB-008G</t>
  </si>
  <si>
    <t>N076</t>
  </si>
  <si>
    <t>睿均</t>
  </si>
  <si>
    <t>耗電流量測治具(共用)</t>
  </si>
  <si>
    <t>N077</t>
  </si>
  <si>
    <t>N078</t>
  </si>
  <si>
    <t>當前儲位</t>
    <phoneticPr fontId="1" type="noConversion"/>
  </si>
  <si>
    <t>在庫數量</t>
    <phoneticPr fontId="1" type="noConversion"/>
  </si>
  <si>
    <t>(禁止生產)S1L-G4-WI-BT-CL-FC-1SIM-2G-0100</t>
  </si>
  <si>
    <t>(依PM通知關閉)G4 TYPE/4G-J/PCI/5"/WIFI/BT/CL/FRONT CAMERA/1SIM/2G RAM/2 TRACK MSR/NTTD/ANDROID 6</t>
  </si>
  <si>
    <t>N079</t>
  </si>
  <si>
    <t>N080</t>
  </si>
  <si>
    <t>USB 2AF to USB CM L:250MM</t>
  </si>
  <si>
    <t>N081</t>
  </si>
  <si>
    <t>秤重機</t>
  </si>
  <si>
    <t>Rocker Switch PU_56K_22/28AWG_無GND PIN</t>
    <phoneticPr fontId="1" type="noConversion"/>
  </si>
  <si>
    <r>
      <t>Rocker Switch PU_56K_22/28AWG_</t>
    </r>
    <r>
      <rPr>
        <sz val="12"/>
        <rFont val="微軟正黑體"/>
        <family val="2"/>
        <charset val="136"/>
      </rPr>
      <t>無</t>
    </r>
    <r>
      <rPr>
        <sz val="12"/>
        <rFont val="Calibri"/>
        <family val="2"/>
      </rPr>
      <t>GND PIN</t>
    </r>
    <phoneticPr fontId="1" type="noConversion"/>
  </si>
  <si>
    <t>N083</t>
  </si>
  <si>
    <t>N082</t>
  </si>
  <si>
    <t>BATTERY LI-ION S1E2-525171-1S2P 3.75~4.25V 5200mAh VER.R</t>
  </si>
  <si>
    <t>KAYO_S1E2-525171-1S2P_5200mAh-3.75V_新增UL2054 UL62368 UKCA PSE代理</t>
  </si>
  <si>
    <t>BATTERY LI-ION INR18650-MH1 1S2P 3.7V~4.2V 5840MAH(MIN)</t>
  </si>
  <si>
    <t>國光_B26_S1F2-5840MAH-3.7V(帶電量計) _移除日期標示</t>
  </si>
  <si>
    <t>N084</t>
  </si>
  <si>
    <t>CABLE USB A TYPE 2.0  TO  USB A TYPE 2.0 L: 1500MM</t>
    <phoneticPr fontId="1" type="noConversion"/>
  </si>
  <si>
    <t>N085</t>
  </si>
  <si>
    <t>USB 2.0 AF to DB9M RS-232 轉接盒</t>
  </si>
  <si>
    <t>品名查詢</t>
    <phoneticPr fontId="1" type="noConversion"/>
  </si>
  <si>
    <t>新增品名查詢功能及多條件式。</t>
    <phoneticPr fontId="1" type="noConversion"/>
  </si>
  <si>
    <t>新增儲位檢查額外條件可自定義中文。</t>
    <phoneticPr fontId="1" type="noConversion"/>
  </si>
  <si>
    <t>新增資產料號建立功能。</t>
    <phoneticPr fontId="1" type="noConversion"/>
  </si>
  <si>
    <t>v1.1.0</t>
    <phoneticPr fontId="1" type="noConversion"/>
  </si>
  <si>
    <t>v1.1.1</t>
  </si>
  <si>
    <t>v1.1.2</t>
  </si>
  <si>
    <t>v1.1.3</t>
  </si>
  <si>
    <t>v1.1.4</t>
  </si>
  <si>
    <t>v1.1.6</t>
  </si>
  <si>
    <t>v1.1.7</t>
  </si>
  <si>
    <t>v1.1.8</t>
  </si>
  <si>
    <t>v1.1.9</t>
  </si>
  <si>
    <t>v1.2.0</t>
    <phoneticPr fontId="1" type="noConversion"/>
  </si>
  <si>
    <t>v1.1.5</t>
    <phoneticPr fontId="1" type="noConversion"/>
  </si>
  <si>
    <t>　  新增操作者權限。</t>
  </si>
  <si>
    <t>　SOP製作完成。</t>
  </si>
  <si>
    <t>　新增管理者權限。</t>
    <phoneticPr fontId="1" type="noConversion"/>
  </si>
  <si>
    <t>v1.2.1</t>
    <phoneticPr fontId="1" type="noConversion"/>
  </si>
  <si>
    <r>
      <t xml:space="preserve">USB 2.0 AM to AF 28/24 1m </t>
    </r>
    <r>
      <rPr>
        <sz val="12"/>
        <rFont val="微軟正黑體"/>
        <family val="2"/>
        <charset val="136"/>
      </rPr>
      <t>透明外被</t>
    </r>
    <phoneticPr fontId="1" type="noConversion"/>
  </si>
  <si>
    <r>
      <rPr>
        <sz val="12"/>
        <rFont val="微軟正黑體"/>
        <family val="2"/>
        <charset val="136"/>
      </rPr>
      <t>中階電腦主機</t>
    </r>
    <r>
      <rPr>
        <sz val="12"/>
        <rFont val="Calibri"/>
        <family val="2"/>
      </rPr>
      <t>(</t>
    </r>
    <r>
      <rPr>
        <sz val="12"/>
        <rFont val="微軟正黑體"/>
        <family val="2"/>
        <charset val="136"/>
      </rPr>
      <t>舊</t>
    </r>
    <r>
      <rPr>
        <sz val="12"/>
        <rFont val="Calibri"/>
        <family val="2"/>
      </rPr>
      <t>)</t>
    </r>
    <phoneticPr fontId="1" type="noConversion"/>
  </si>
  <si>
    <r>
      <rPr>
        <sz val="16"/>
        <rFont val="新細明體"/>
        <family val="1"/>
        <charset val="136"/>
      </rPr>
      <t>品名</t>
    </r>
    <phoneticPr fontId="1" type="noConversion"/>
  </si>
  <si>
    <r>
      <rPr>
        <sz val="16"/>
        <rFont val="新細明體"/>
        <family val="1"/>
        <charset val="136"/>
      </rPr>
      <t>規格</t>
    </r>
    <phoneticPr fontId="1" type="noConversion"/>
  </si>
  <si>
    <r>
      <rPr>
        <sz val="16"/>
        <rFont val="Microsoft JhengHei"/>
        <family val="2"/>
        <charset val="136"/>
      </rPr>
      <t>安全庫存</t>
    </r>
    <phoneticPr fontId="1" type="noConversion"/>
  </si>
  <si>
    <r>
      <rPr>
        <sz val="12"/>
        <rFont val="新細明體"/>
        <family val="2"/>
        <charset val="136"/>
      </rPr>
      <t>宣帆</t>
    </r>
    <r>
      <rPr>
        <sz val="12"/>
        <rFont val="Calibri"/>
        <family val="2"/>
      </rPr>
      <t>-</t>
    </r>
    <r>
      <rPr>
        <sz val="12"/>
        <rFont val="新細明體"/>
        <family val="2"/>
        <charset val="136"/>
      </rPr>
      <t>加工</t>
    </r>
    <r>
      <rPr>
        <sz val="12"/>
        <rFont val="Calibri"/>
        <family val="2"/>
      </rPr>
      <t xml:space="preserve"> DOE6_</t>
    </r>
    <r>
      <rPr>
        <sz val="12"/>
        <rFont val="微軟正黑體"/>
        <family val="2"/>
        <charset val="136"/>
      </rPr>
      <t>崑仰</t>
    </r>
    <r>
      <rPr>
        <sz val="12"/>
        <rFont val="Calibri"/>
        <family val="2"/>
      </rPr>
      <t>_</t>
    </r>
    <r>
      <rPr>
        <sz val="12"/>
        <rFont val="微軟正黑體"/>
        <family val="2"/>
        <charset val="136"/>
      </rPr>
      <t>線長</t>
    </r>
    <r>
      <rPr>
        <sz val="12"/>
        <rFont val="Calibri"/>
        <family val="2"/>
      </rPr>
      <t>1500MM_</t>
    </r>
    <r>
      <rPr>
        <sz val="12"/>
        <rFont val="微軟正黑體"/>
        <family val="2"/>
        <charset val="136"/>
      </rPr>
      <t>無</t>
    </r>
    <r>
      <rPr>
        <sz val="12"/>
        <rFont val="Calibri"/>
        <family val="2"/>
      </rPr>
      <t>CORE_</t>
    </r>
    <r>
      <rPr>
        <sz val="12"/>
        <rFont val="微軟正黑體"/>
        <family val="2"/>
        <charset val="136"/>
      </rPr>
      <t>移除</t>
    </r>
    <r>
      <rPr>
        <sz val="12"/>
        <rFont val="Calibri"/>
        <family val="2"/>
      </rPr>
      <t>CCC</t>
    </r>
    <r>
      <rPr>
        <sz val="12"/>
        <rFont val="微軟正黑體"/>
        <family val="2"/>
        <charset val="136"/>
      </rPr>
      <t>標示</t>
    </r>
    <r>
      <rPr>
        <sz val="12"/>
        <rFont val="Calibri"/>
        <family val="2"/>
      </rPr>
      <t>_4.0*1.7*8.5MM</t>
    </r>
    <phoneticPr fontId="1" type="noConversion"/>
  </si>
  <si>
    <t>庫別查詢</t>
    <phoneticPr fontId="1" type="noConversion"/>
  </si>
  <si>
    <t>上齊</t>
    <phoneticPr fontId="1" type="noConversion"/>
  </si>
  <si>
    <t>治具庫</t>
    <phoneticPr fontId="1" type="noConversion"/>
  </si>
  <si>
    <t>v1.2.2</t>
    <phoneticPr fontId="1" type="noConversion"/>
  </si>
  <si>
    <t>v1.2.3</t>
    <phoneticPr fontId="1" type="noConversion"/>
  </si>
  <si>
    <t>各倉品名查詢</t>
    <phoneticPr fontId="1" type="noConversion"/>
  </si>
  <si>
    <t>RJ&amp;RJ</t>
    <phoneticPr fontId="1" type="noConversion"/>
  </si>
  <si>
    <t>上齊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</si>
</sst>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\(0\)"/>
    <numFmt numFmtId="178" formatCode="0_);[Red]\(0\)"/>
  </numFmts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6"/>
      <name val="新細明體"/>
      <family val="1"/>
      <charset val="136"/>
    </font>
    <font>
      <sz val="16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sz val="16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sz val="16"/>
      <name val="Microsoft JhengHei"/>
      <family val="2"/>
      <charset val="136"/>
    </font>
    <font>
      <sz val="11"/>
      <color theme="1"/>
      <name val="Microsoft JhengHei"/>
      <family val="2"/>
      <charset val="136"/>
    </font>
    <font>
      <sz val="12"/>
      <name val="細明體"/>
      <family val="3"/>
      <charset val="136"/>
    </font>
    <font>
      <sz val="12"/>
      <name val="微軟正黑體"/>
      <family val="2"/>
      <charset val="136"/>
    </font>
    <font>
      <sz val="12"/>
      <name val="新細明體"/>
      <family val="2"/>
      <charset val="136"/>
    </font>
    <font>
      <sz val="12"/>
      <name val="Calibri"/>
      <family val="2"/>
      <charset val="136"/>
    </font>
    <font>
      <sz val="16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49" fontId="4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0" fillId="0" borderId="5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77" fontId="3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/>
    </xf>
    <xf numFmtId="177" fontId="6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49" fontId="16" fillId="0" borderId="7" xfId="0" applyNumberFormat="1" applyFont="1" applyBorder="1" applyAlignment="1">
      <alignment horizontal="center" vertical="center"/>
    </xf>
    <xf numFmtId="49" fontId="17" fillId="0" borderId="10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5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/>
    <xf numFmtId="14" fontId="0" fillId="2" borderId="0" xfId="0" applyNumberFormat="1" applyFill="1" applyAlignment="1" applyProtection="1">
      <alignment horizontal="center" vertical="center"/>
      <protection locked="0"/>
    </xf>
    <xf numFmtId="177" fontId="0" fillId="2" borderId="0" xfId="0" applyNumberFormat="1" applyFill="1" applyAlignment="1" applyProtection="1">
      <alignment horizontal="center" vertical="center"/>
      <protection locked="0"/>
    </xf>
    <xf numFmtId="178" fontId="0" fillId="2" borderId="0" xfId="0" applyNumberForma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178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77" fontId="0" fillId="3" borderId="0" xfId="0" applyNumberFormat="1" applyFill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14" fontId="0" fillId="0" borderId="9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77" fontId="5" fillId="0" borderId="4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77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176" fontId="0" fillId="5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 vertical="center"/>
      <protection locked="0"/>
    </xf>
    <xf numFmtId="177" fontId="9" fillId="5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</cellXfs>
  <cellStyles count="1">
    <cellStyle name="一般" xfId="0" builtinId="0"/>
  </cellStyles>
  <dxfs count="9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\(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新細明體"/>
        <family val="1"/>
        <charset val="136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282855</xdr:colOff>
      <xdr:row>3</xdr:row>
      <xdr:rowOff>150302</xdr:rowOff>
    </xdr:from>
    <xdr:to>
      <xdr:col>2</xdr:col>
      <xdr:colOff>677066</xdr:colOff>
      <xdr:row>5</xdr:row>
      <xdr:rowOff>205531</xdr:rowOff>
    </xdr:to>
    <xdr:sp macro="[0]!清除" textlink="">
      <xdr:nvSpPr>
        <xdr:cNvPr id="2" name="矩形: 圓角 1">
          <a:extLst>
            <a:ext uri="{FF2B5EF4-FFF2-40B4-BE49-F238E27FC236}">
              <a16:creationId xmlns:a16="http://schemas.microsoft.com/office/drawing/2014/main" id="{6F3C0695-C05F-4673-B0BD-5A509252FEAA}"/>
            </a:ext>
          </a:extLst>
        </xdr:cNvPr>
        <xdr:cNvSpPr/>
      </xdr:nvSpPr>
      <xdr:spPr>
        <a:xfrm>
          <a:off x="551288" y="591917"/>
          <a:ext cx="1234142" cy="427569"/>
        </a:xfrm>
        <a:prstGeom prst="roundRect">
          <a:avLst/>
        </a:prstGeom>
        <a:solidFill>
          <a:schemeClr val="accent4">
            <a:alpha val="9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</a:t>
          </a:r>
          <a:r>
            <a:rPr lang="en-US" altLang="zh-TW" sz="1600">
              <a:solidFill>
                <a:schemeClr val="bg1"/>
              </a:solidFill>
            </a:rPr>
            <a:t>/</a:t>
          </a:r>
          <a:r>
            <a:rPr lang="zh-TW" altLang="en-US" sz="1600">
              <a:solidFill>
                <a:schemeClr val="bg1"/>
              </a:solidFill>
            </a:rPr>
            <a:t>日期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282855</xdr:colOff>
      <xdr:row>6</xdr:row>
      <xdr:rowOff>44117</xdr:rowOff>
    </xdr:from>
    <xdr:to>
      <xdr:col>2</xdr:col>
      <xdr:colOff>677066</xdr:colOff>
      <xdr:row>9</xdr:row>
      <xdr:rowOff>33914</xdr:rowOff>
    </xdr:to>
    <xdr:sp macro="[0]!出入庫" textlink="">
      <xdr:nvSpPr>
        <xdr:cNvPr id="5" name="矩形: 圓角 4">
          <a:extLst>
            <a:ext uri="{FF2B5EF4-FFF2-40B4-BE49-F238E27FC236}">
              <a16:creationId xmlns:a16="http://schemas.microsoft.com/office/drawing/2014/main" id="{E5239B06-1D63-4422-BDCF-2DD735B74E52}"/>
            </a:ext>
          </a:extLst>
        </xdr:cNvPr>
        <xdr:cNvSpPr/>
      </xdr:nvSpPr>
      <xdr:spPr>
        <a:xfrm>
          <a:off x="551288" y="1169799"/>
          <a:ext cx="1234142" cy="42275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/>
            <a:t>出入庫</a:t>
          </a:r>
        </a:p>
      </xdr:txBody>
    </xdr:sp>
    <xdr:clientData/>
  </xdr:twoCellAnchor>
  <xdr:twoCellAnchor>
    <xdr:from>
      <xdr:col>1</xdr:col>
      <xdr:colOff>282855</xdr:colOff>
      <xdr:row>9</xdr:row>
      <xdr:rowOff>184227</xdr:rowOff>
    </xdr:from>
    <xdr:to>
      <xdr:col>2</xdr:col>
      <xdr:colOff>677066</xdr:colOff>
      <xdr:row>11</xdr:row>
      <xdr:rowOff>241643</xdr:rowOff>
    </xdr:to>
    <xdr:sp macro="[0]!出入查詢" textlink="">
      <xdr:nvSpPr>
        <xdr:cNvPr id="7" name="矩形: 圓角 6">
          <a:extLst>
            <a:ext uri="{FF2B5EF4-FFF2-40B4-BE49-F238E27FC236}">
              <a16:creationId xmlns:a16="http://schemas.microsoft.com/office/drawing/2014/main" id="{0EB4DE8B-1AE6-40C3-9FF1-3AE7FFB2B7A8}"/>
            </a:ext>
          </a:extLst>
        </xdr:cNvPr>
        <xdr:cNvSpPr/>
      </xdr:nvSpPr>
      <xdr:spPr>
        <a:xfrm>
          <a:off x="551288" y="1742863"/>
          <a:ext cx="1234142" cy="42975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出入查詢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368043</xdr:colOff>
      <xdr:row>1</xdr:row>
      <xdr:rowOff>0</xdr:rowOff>
    </xdr:from>
    <xdr:to>
      <xdr:col>11</xdr:col>
      <xdr:colOff>612972</xdr:colOff>
      <xdr:row>3</xdr:row>
      <xdr:rowOff>219229</xdr:rowOff>
    </xdr:to>
    <xdr:sp macro="[0]!測試料號" textlink="">
      <xdr:nvSpPr>
        <xdr:cNvPr id="3" name="矩形: 圓角 2">
          <a:extLst>
            <a:ext uri="{FF2B5EF4-FFF2-40B4-BE49-F238E27FC236}">
              <a16:creationId xmlns:a16="http://schemas.microsoft.com/office/drawing/2014/main" id="{8281C839-9533-4C04-9323-3C2545597C03}"/>
            </a:ext>
          </a:extLst>
        </xdr:cNvPr>
        <xdr:cNvSpPr/>
      </xdr:nvSpPr>
      <xdr:spPr>
        <a:xfrm>
          <a:off x="12954650" y="190500"/>
          <a:ext cx="1088572" cy="470962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測試料號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278252</xdr:colOff>
      <xdr:row>3</xdr:row>
      <xdr:rowOff>219229</xdr:rowOff>
    </xdr:to>
    <xdr:sp macro="[0]!產生儲位" textlink="">
      <xdr:nvSpPr>
        <xdr:cNvPr id="9" name="矩形: 圓角 8">
          <a:extLst>
            <a:ext uri="{FF2B5EF4-FFF2-40B4-BE49-F238E27FC236}">
              <a16:creationId xmlns:a16="http://schemas.microsoft.com/office/drawing/2014/main" id="{1B4F09D4-4DF2-4584-9300-190258D71530}"/>
            </a:ext>
          </a:extLst>
        </xdr:cNvPr>
        <xdr:cNvSpPr/>
      </xdr:nvSpPr>
      <xdr:spPr>
        <a:xfrm>
          <a:off x="14273893" y="190500"/>
          <a:ext cx="1121895" cy="470962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產生儲位</a:t>
          </a:r>
        </a:p>
      </xdr:txBody>
    </xdr:sp>
    <xdr:clientData/>
  </xdr:twoCellAnchor>
  <xdr:twoCellAnchor>
    <xdr:from>
      <xdr:col>13</xdr:col>
      <xdr:colOff>508923</xdr:colOff>
      <xdr:row>1</xdr:row>
      <xdr:rowOff>0</xdr:rowOff>
    </xdr:from>
    <xdr:to>
      <xdr:col>14</xdr:col>
      <xdr:colOff>740343</xdr:colOff>
      <xdr:row>3</xdr:row>
      <xdr:rowOff>219229</xdr:rowOff>
    </xdr:to>
    <xdr:sp macro="[0]!建立料號" textlink="">
      <xdr:nvSpPr>
        <xdr:cNvPr id="10" name="矩形: 圓角 9">
          <a:extLst>
            <a:ext uri="{FF2B5EF4-FFF2-40B4-BE49-F238E27FC236}">
              <a16:creationId xmlns:a16="http://schemas.microsoft.com/office/drawing/2014/main" id="{7B300D72-2393-40F9-A422-F71EB5261F44}"/>
            </a:ext>
          </a:extLst>
        </xdr:cNvPr>
        <xdr:cNvSpPr/>
      </xdr:nvSpPr>
      <xdr:spPr>
        <a:xfrm>
          <a:off x="15626459" y="190500"/>
          <a:ext cx="1075063" cy="470962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建立料號</a:t>
          </a:r>
        </a:p>
      </xdr:txBody>
    </xdr:sp>
    <xdr:clientData/>
  </xdr:twoCellAnchor>
  <xdr:twoCellAnchor>
    <xdr:from>
      <xdr:col>8</xdr:col>
      <xdr:colOff>273443</xdr:colOff>
      <xdr:row>1</xdr:row>
      <xdr:rowOff>0</xdr:rowOff>
    </xdr:from>
    <xdr:to>
      <xdr:col>10</xdr:col>
      <xdr:colOff>137372</xdr:colOff>
      <xdr:row>3</xdr:row>
      <xdr:rowOff>219229</xdr:rowOff>
    </xdr:to>
    <xdr:sp macro="[0]!資產料號" textlink="">
      <xdr:nvSpPr>
        <xdr:cNvPr id="4" name="矩形: 圓角 3">
          <a:extLst>
            <a:ext uri="{FF2B5EF4-FFF2-40B4-BE49-F238E27FC236}">
              <a16:creationId xmlns:a16="http://schemas.microsoft.com/office/drawing/2014/main" id="{D376E951-7A6A-4821-A3D3-96ADC638CA34}"/>
            </a:ext>
          </a:extLst>
        </xdr:cNvPr>
        <xdr:cNvSpPr/>
      </xdr:nvSpPr>
      <xdr:spPr>
        <a:xfrm>
          <a:off x="11635407" y="190500"/>
          <a:ext cx="1088572" cy="470962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>
              <a:solidFill>
                <a:srgbClr val="FF0000"/>
              </a:solidFill>
            </a:rPr>
            <a:t>資產</a:t>
          </a:r>
          <a:r>
            <a:rPr lang="zh-TW" altLang="en-US" sz="1600"/>
            <a:t>料號</a:t>
          </a:r>
        </a:p>
      </xdr:txBody>
    </xdr:sp>
    <xdr:clientData/>
  </xdr:twoCellAnchor>
  <xdr:twoCellAnchor>
    <xdr:from>
      <xdr:col>1</xdr:col>
      <xdr:colOff>282855</xdr:colOff>
      <xdr:row>13</xdr:row>
      <xdr:rowOff>19616</xdr:rowOff>
    </xdr:from>
    <xdr:to>
      <xdr:col>2</xdr:col>
      <xdr:colOff>677066</xdr:colOff>
      <xdr:row>15</xdr:row>
      <xdr:rowOff>77033</xdr:rowOff>
    </xdr:to>
    <xdr:sp macro="[0]!品名查詢" textlink="">
      <xdr:nvSpPr>
        <xdr:cNvPr id="6" name="矩形: 圓角 5">
          <a:extLst>
            <a:ext uri="{FF2B5EF4-FFF2-40B4-BE49-F238E27FC236}">
              <a16:creationId xmlns:a16="http://schemas.microsoft.com/office/drawing/2014/main" id="{9B3D4DC5-7191-49A4-B32B-7BB9C69FDDB8}"/>
            </a:ext>
          </a:extLst>
        </xdr:cNvPr>
        <xdr:cNvSpPr/>
      </xdr:nvSpPr>
      <xdr:spPr>
        <a:xfrm>
          <a:off x="551288" y="2322934"/>
          <a:ext cx="1234142" cy="42975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品名查詢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282855</xdr:colOff>
      <xdr:row>19</xdr:row>
      <xdr:rowOff>62736</xdr:rowOff>
    </xdr:from>
    <xdr:to>
      <xdr:col>2</xdr:col>
      <xdr:colOff>677066</xdr:colOff>
      <xdr:row>21</xdr:row>
      <xdr:rowOff>118917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18869D5A-DD1D-4C2F-85F9-47B806038B51}"/>
            </a:ext>
          </a:extLst>
        </xdr:cNvPr>
        <xdr:cNvSpPr/>
      </xdr:nvSpPr>
      <xdr:spPr>
        <a:xfrm>
          <a:off x="551288" y="3483078"/>
          <a:ext cx="1234142" cy="42852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安庫檢查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282855</xdr:colOff>
      <xdr:row>15</xdr:row>
      <xdr:rowOff>227346</xdr:rowOff>
    </xdr:from>
    <xdr:to>
      <xdr:col>2</xdr:col>
      <xdr:colOff>677066</xdr:colOff>
      <xdr:row>17</xdr:row>
      <xdr:rowOff>284764</xdr:rowOff>
    </xdr:to>
    <xdr:sp macro="[0]!清除查詢" textlink="">
      <xdr:nvSpPr>
        <xdr:cNvPr id="11" name="矩形: 圓角 10">
          <a:extLst>
            <a:ext uri="{FF2B5EF4-FFF2-40B4-BE49-F238E27FC236}">
              <a16:creationId xmlns:a16="http://schemas.microsoft.com/office/drawing/2014/main" id="{C6274732-F956-48CD-AA33-3A2855212100}"/>
            </a:ext>
          </a:extLst>
        </xdr:cNvPr>
        <xdr:cNvSpPr/>
      </xdr:nvSpPr>
      <xdr:spPr>
        <a:xfrm>
          <a:off x="551288" y="2903006"/>
          <a:ext cx="1234142" cy="42975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95251</xdr:colOff>
      <xdr:row>1</xdr:row>
      <xdr:rowOff>11207</xdr:rowOff>
    </xdr:from>
    <xdr:to>
      <xdr:col>15</xdr:col>
      <xdr:colOff>635251</xdr:colOff>
      <xdr:row>3</xdr:row>
      <xdr:rowOff>275022</xdr:rowOff>
    </xdr:to>
    <xdr:pic macro="[0]!切換鎖定狀態">
      <xdr:nvPicPr>
        <xdr:cNvPr id="15" name="圖片 14">
          <a:extLst>
            <a:ext uri="{FF2B5EF4-FFF2-40B4-BE49-F238E27FC236}">
              <a16:creationId xmlns:a16="http://schemas.microsoft.com/office/drawing/2014/main" id="{64001617-784C-0A68-FDF3-9B838B6A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6816" y="201707"/>
          <a:ext cx="540000" cy="516435"/>
        </a:xfrm>
        <a:prstGeom prst="rect">
          <a:avLst/>
        </a:prstGeom>
      </xdr:spPr>
    </xdr:pic>
    <xdr:clientData/>
  </xdr:twoCellAnchor>
  <xdr:twoCellAnchor editAs="oneCell">
    <xdr:from>
      <xdr:col>15</xdr:col>
      <xdr:colOff>82828</xdr:colOff>
      <xdr:row>5</xdr:row>
      <xdr:rowOff>16568</xdr:rowOff>
    </xdr:from>
    <xdr:to>
      <xdr:col>15</xdr:col>
      <xdr:colOff>622828</xdr:colOff>
      <xdr:row>7</xdr:row>
      <xdr:rowOff>177930</xdr:rowOff>
    </xdr:to>
    <xdr:pic macro="[0]!刪除測試列">
      <xdr:nvPicPr>
        <xdr:cNvPr id="13" name="圖片 12">
          <a:extLst>
            <a:ext uri="{FF2B5EF4-FFF2-40B4-BE49-F238E27FC236}">
              <a16:creationId xmlns:a16="http://schemas.microsoft.com/office/drawing/2014/main" id="{A474D10D-5A73-6AE5-60E1-AE4A7CC85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4393" y="836546"/>
          <a:ext cx="540000" cy="5382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29D80-EBD7-4AF2-A07D-8DE5AA208994}" name="表格1" displayName="表格1" ref="A1:H172" totalsRowShown="0" headerRowDxfId="91" dataDxfId="90">
  <autoFilter ref="A1:H172" xr:uid="{A5529D80-EBD7-4AF2-A07D-8DE5AA208994}"/>
  <tableColumns count="8">
    <tableColumn id="1" xr3:uid="{7753F171-13BA-4757-9F84-F68DDAE0C859}" name="日期" dataDxfId="89"/>
    <tableColumn id="2" xr3:uid="{6F7173EF-9661-430F-9EB2-D10DA6EF0085}" name="料號" dataDxfId="88"/>
    <tableColumn id="3" xr3:uid="{D9351DF6-60C9-45F7-A50D-6701D27A5AC5}" name="品名" dataDxfId="87"/>
    <tableColumn id="4" xr3:uid="{3D395405-979C-4D38-BB0D-08AA64957CF4}" name="規格" dataDxfId="86"/>
    <tableColumn id="5" xr3:uid="{A67EC262-ED86-4724-B6CD-298D95D4F745}" name="出入庫" dataDxfId="85"/>
    <tableColumn id="6" xr3:uid="{CB13AC18-B30E-4E8F-BA82-C8F73EE38399}" name="數量" dataDxfId="84"/>
    <tableColumn id="7" xr3:uid="{C22658E4-4866-4C25-960F-00D537C614EC}" name="來源" dataDxfId="83"/>
    <tableColumn id="8" xr3:uid="{C2677849-2041-4D15-9793-C03E9191250A}" name="儲位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AD1ECE-E38F-4D83-9453-3E648C27E73D}" name="表格2_4" displayName="表格2_4" ref="A1:I86" totalsRowShown="0" headerRowDxfId="79" dataDxfId="77" headerRowBorderDxfId="78" tableBorderDxfId="76" totalsRowBorderDxfId="75">
  <tableColumns count="9">
    <tableColumn id="1" xr3:uid="{C746F833-4240-4577-B321-73BFE1E65E17}" name="料號" dataDxfId="74"/>
    <tableColumn id="2" xr3:uid="{D9111015-1A47-4E3D-AE0C-294F858C59DD}" name="品名" dataDxfId="73"/>
    <tableColumn id="3" xr3:uid="{799BA1CD-7D55-4E54-B13F-B6981A07A900}" name="規格" dataDxfId="72"/>
    <tableColumn id="9" xr3:uid="{5C77EA8A-01AB-4879-A638-65936A19018E}" name="出入庫" dataDxfId="71"/>
    <tableColumn id="4" xr3:uid="{F5E4902C-B257-4BC3-ACDD-C58CF7CD5C0F}" name="在庫量" dataDxfId="70">
      <calculatedColumnFormula>IFERROR(SUMIF(治具庫!A:A, A2, 治具庫!E:E), 0) + IFERROR(SUMIF(線上!A:A, A2, 線上!E:E), 0)</calculatedColumnFormula>
    </tableColumn>
    <tableColumn id="8" xr3:uid="{3CAF6DFF-59B4-4F1B-9381-767D7DCFD5AC}" name="來源" dataDxfId="69"/>
    <tableColumn id="5" xr3:uid="{B100304B-4730-49EF-8A9C-B149048BEF92}" name="儲位" dataDxfId="68"/>
    <tableColumn id="7" xr3:uid="{B3DFC4D1-3FC4-4148-86ED-FF069B0A7A42}" name="安全庫存" dataDxfId="67"/>
    <tableColumn id="6" xr3:uid="{543AAF2D-2C6B-407D-A101-56138F7D9C69}" name="圖片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C5AA8-D06F-4655-8012-93A5DEEAD60C}" name="表格2" displayName="表格2" ref="A1:I86" totalsRowShown="0" headerRowDxfId="63" dataDxfId="61" headerRowBorderDxfId="62" tableBorderDxfId="60" totalsRowBorderDxfId="59">
  <tableColumns count="9">
    <tableColumn id="1" xr3:uid="{F67DEBD0-2B8A-4B5E-B03F-EA03764B77B1}" name="料號" dataDxfId="58"/>
    <tableColumn id="2" xr3:uid="{37E9C36B-E5AC-4E96-BBC9-DDF2776CEA58}" name="品名" dataDxfId="57"/>
    <tableColumn id="3" xr3:uid="{C57D5199-F36D-4C4A-AE60-33C54FBC8451}" name="規格" dataDxfId="56"/>
    <tableColumn id="12" xr3:uid="{D3938A2D-55EA-429B-859C-AF61178499D4}" name="出入庫" dataDxfId="55"/>
    <tableColumn id="4" xr3:uid="{D16BABFE-3BB2-4A4D-91C8-40C74E09C6E9}" name="在庫量" dataDxfId="54">
      <calculatedColumnFormula>SUMIFS(出入庫!F:F,出入庫!E:E,"入庫",出入庫!B:B,表格2[[#This Row],[料號]])-SUMIFS(出入庫!F:F,出入庫!E:E,"出庫",出入庫!B:B,表格2[[#This Row],[料號]])</calculatedColumnFormula>
    </tableColumn>
    <tableColumn id="13" xr3:uid="{88E58A40-98F5-40CB-8F7E-5E00CCFDEA8E}" name="來源" dataDxfId="53"/>
    <tableColumn id="5" xr3:uid="{5EC6700B-96B1-4A49-9325-48C002EA0E60}" name="儲位" dataDxfId="52"/>
    <tableColumn id="7" xr3:uid="{3E7D2E8B-5A14-460F-BBD9-8BD5375DB449}" name="安全庫存" dataDxfId="51"/>
    <tableColumn id="6" xr3:uid="{BB8F7106-1BEB-4618-A6CE-41E855531295}" name="圖片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E8885-5DA2-4612-97DD-DF4771AD093C}" name="表格2_7" displayName="表格2_7" ref="A1:I86" totalsRowShown="0" headerRowDxfId="48" dataDxfId="46" headerRowBorderDxfId="47" tableBorderDxfId="45" totalsRowBorderDxfId="44">
  <autoFilter ref="A1:I86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ACAE41F4-98DB-4EFC-A706-9B8AADCCF7DB}" name="料號" dataDxfId="43"/>
    <tableColumn id="2" xr3:uid="{DA69853E-FC8B-4BC2-906B-6152BCE8D42B}" name="品名" dataDxfId="42"/>
    <tableColumn id="3" xr3:uid="{4C064FC0-F4FB-40A6-AA0F-06845C545CCE}" name="規格" dataDxfId="41"/>
    <tableColumn id="8" xr3:uid="{5A215050-1602-4D95-A5E1-9AF73BF59C54}" name="出入庫" dataDxfId="40"/>
    <tableColumn id="4" xr3:uid="{EB218270-E601-4EDA-B152-19A23BB363C7}" name="在庫量" dataDxfId="39">
      <calculatedColumnFormula>SUMIFS(出入庫!F:F, 出入庫!E:E, "出庫", 出入庫!B:B, 表格2_7[[#This Row],[料號]], 出入庫!G:G, "線上") - SUMIFS(出入庫!F:F, 出入庫!E:E, "入庫", 出入庫!B:B, 表格2_7[[#This Row],[料號]], 出入庫!G:G, "線上")</calculatedColumnFormula>
    </tableColumn>
    <tableColumn id="9" xr3:uid="{0D74C360-2479-42A9-803F-A8D0B5A44637}" name="來源" dataDxfId="38"/>
    <tableColumn id="5" xr3:uid="{B989B4E2-9C16-454D-AE74-A3DF6C5F572A}" name="儲位" dataDxfId="37"/>
    <tableColumn id="7" xr3:uid="{540AE217-9C2B-4356-8AF7-A7825A5DC337}" name="安全庫存" dataDxfId="36"/>
    <tableColumn id="6" xr3:uid="{429830C6-B597-4468-8A80-2FEF8BB394A5}" name="CMD" dataDxfId="35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9CD485-D9D6-413D-A35D-5EA2770B8253}" name="表格2_45" displayName="表格2_45" ref="A1:H86" totalsRowShown="0" headerRowDxfId="33" dataDxfId="31" headerRowBorderDxfId="32" tableBorderDxfId="30" totalsRowBorderDxfId="29">
  <autoFilter ref="A1:H86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1011E18-E108-4D4A-9899-9BEB45AA821E}" name="料號" dataDxfId="28"/>
    <tableColumn id="2" xr3:uid="{5A225E83-6107-4518-8D8E-F0B5D86E022C}" name="品名" dataDxfId="27"/>
    <tableColumn id="3" xr3:uid="{39A7CAB5-9F6F-4B27-97AF-05DB36204733}" name="規格" dataDxfId="26"/>
    <tableColumn id="11" xr3:uid="{FA294E4D-7D68-4F69-B225-A1FD6FB46003}" name="出入庫" dataDxfId="25"/>
    <tableColumn id="4" xr3:uid="{2E4F33CB-FC9C-4A4C-8EE6-0FE2CB7FA1A1}" name="在庫量" dataDxfId="24">
      <calculatedColumnFormula>SUMIFS(出入庫!F:F, 出入庫!E:E, "出庫", 出入庫!B:B, 表格2_45[[#This Row],[料號]], 出入庫!G:G, "睿均") - SUMIFS(出入庫!F:F, 出入庫!E:E, "入庫", 出入庫!B:B, 表格2_45[[#This Row],[料號]], 出入庫!G:G, "睿均")</calculatedColumnFormula>
    </tableColumn>
    <tableColumn id="12" xr3:uid="{4DFBF906-1D8A-4F89-B616-619BE365C925}" name="來源" dataDxfId="23"/>
    <tableColumn id="5" xr3:uid="{75B4693E-9EE8-4077-A551-EA24FCCA8A40}" name="儲位" dataDxfId="22"/>
    <tableColumn id="7" xr3:uid="{14E2C39F-E028-4FE2-9B45-26687A01A3D2}" name="安全庫存" dataDxfId="21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359104-1AA4-4D2B-B7B7-AF33436C39EC}" name="表格2_456" displayName="表格2_456" ref="A1:H86" totalsRowShown="0" headerRowDxfId="18" dataDxfId="16" headerRowBorderDxfId="17" tableBorderDxfId="15" totalsRowBorderDxfId="14">
  <autoFilter ref="A1:H86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E37C56E-14D5-4AA3-97FB-4B35F5B71182}" name="料號" dataDxfId="13"/>
    <tableColumn id="2" xr3:uid="{C3B56BFF-37CB-4CD3-BDA9-985C02C98821}" name="品名" dataDxfId="12"/>
    <tableColumn id="3" xr3:uid="{AF571EE7-BFDF-40F1-A739-91CDE87A9B3B}" name="規格" dataDxfId="11"/>
    <tableColumn id="6" xr3:uid="{4111247C-DBB0-48F9-8AB9-5B9359BBA118}" name="出入庫" dataDxfId="10"/>
    <tableColumn id="4" xr3:uid="{7D2F92A9-19B7-4F05-8041-EABFABE752D6}" name="在庫量" dataDxfId="9">
      <calculatedColumnFormula>SUMIFS(出入庫!F:F, 出入庫!E:E, "出庫", 出入庫!B:B, 表格2_456[[#This Row],[料號]], 出入庫!G:G, "不良品")</calculatedColumnFormula>
    </tableColumn>
    <tableColumn id="12" xr3:uid="{3B3A1590-DF55-41BA-BAF3-3AB595B240E6}" name="來源" dataDxfId="8"/>
    <tableColumn id="5" xr3:uid="{0A3B0EDA-DB07-472E-BB92-3A3F464C5312}" name="不良品儲位" dataDxfId="7"/>
    <tableColumn id="7" xr3:uid="{4E0592F5-96B2-46CC-B8BB-80182400FFAB}" name="安全庫存" dataDxfId="6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9CD500-A814-4190-843B-4DBAAE122118}" name="表格7" displayName="表格7" ref="A2:B8" headerRowCount="0" totalsRowShown="0" headerRowDxfId="5" dataDxfId="4">
  <tableColumns count="2">
    <tableColumn id="1" xr3:uid="{73196D9B-7A86-42AA-90EB-CFB018ED30C3}" name="欄1" headerRowDxfId="3" dataDxfId="2"/>
    <tableColumn id="2" xr3:uid="{8F3C46B3-6D55-44EB-9C07-915BC0A856EC}" name="欄2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48"/>
  <sheetViews>
    <sheetView tabSelected="1" topLeftCell="A10" zoomScale="55" zoomScaleNormal="55" workbookViewId="0">
      <selection activeCell="E36" sqref="E36"/>
    </sheetView>
  </sheetViews>
  <sheetFormatPr defaultColWidth="8.85546875" defaultRowHeight="15"/>
  <cols>
    <col min="1" max="1" width="4" style="50" customWidth="1"/>
    <col min="2" max="2" width="12.640625" style="51" customWidth="1"/>
    <col min="3" max="3" width="13.7109375" style="50" customWidth="1"/>
    <col min="4" max="4" width="17.140625" style="52" bestFit="1" customWidth="1"/>
    <col min="5" max="6" width="120.5" style="41" customWidth="1"/>
    <col min="7" max="7" width="7.85546875" style="41" customWidth="1"/>
    <col min="8" max="9" width="5.7109375" style="41" bestFit="1" customWidth="1"/>
    <col min="10" max="15" width="12.640625" style="41" customWidth="1"/>
    <col min="16" max="16" width="10.7109375" style="41" customWidth="1"/>
    <col min="17" max="16384" width="8.85546875" style="41"/>
  </cols>
  <sheetData>
    <row r="1" spans="1:16">
      <c r="A1" s="37"/>
      <c r="B1" s="38"/>
      <c r="C1" s="37"/>
      <c r="D1" s="39"/>
      <c r="E1" s="40"/>
      <c r="F1" s="40"/>
      <c r="G1" s="40"/>
      <c r="H1" s="40"/>
      <c r="I1" s="58"/>
      <c r="J1" s="58"/>
      <c r="K1" s="58"/>
      <c r="L1" s="58"/>
      <c r="M1" s="58"/>
      <c r="N1" s="58"/>
      <c r="O1" s="58"/>
      <c r="P1" s="58"/>
    </row>
    <row r="2" spans="1:16">
      <c r="A2" s="37"/>
      <c r="B2" s="38"/>
      <c r="C2" s="42"/>
      <c r="D2" s="43"/>
      <c r="E2" s="44"/>
      <c r="F2" s="44"/>
      <c r="G2" s="44"/>
      <c r="H2" s="45"/>
      <c r="I2" s="58"/>
      <c r="J2" s="58"/>
      <c r="K2" s="58"/>
      <c r="L2" s="58"/>
      <c r="M2" s="58"/>
      <c r="N2" s="58"/>
      <c r="O2" s="58"/>
      <c r="P2" s="74"/>
    </row>
    <row r="3" spans="1:16" ht="5.0999999999999996" customHeight="1">
      <c r="A3" s="37"/>
      <c r="B3" s="46"/>
      <c r="C3" s="47"/>
      <c r="D3" s="43"/>
      <c r="E3" s="44"/>
      <c r="F3" s="44"/>
      <c r="G3" s="44"/>
      <c r="H3" s="45"/>
      <c r="I3" s="58"/>
      <c r="J3" s="58"/>
      <c r="K3" s="58"/>
      <c r="L3" s="58"/>
      <c r="M3" s="58"/>
      <c r="N3" s="58"/>
      <c r="O3" s="58"/>
      <c r="P3" s="74"/>
    </row>
    <row r="4" spans="1:16" ht="24.95" customHeight="1">
      <c r="A4" s="37"/>
      <c r="B4" s="46"/>
      <c r="C4" s="47"/>
      <c r="D4" s="43" t="s">
        <v>0</v>
      </c>
      <c r="E4" s="75">
        <v>45772</v>
      </c>
      <c r="F4" s="75"/>
      <c r="G4" s="44"/>
      <c r="H4" s="45"/>
      <c r="I4" s="58"/>
      <c r="J4" s="58"/>
      <c r="K4" s="58"/>
      <c r="L4" s="58"/>
      <c r="M4" s="58"/>
      <c r="N4" s="58"/>
      <c r="O4" s="58"/>
      <c r="P4" s="74"/>
    </row>
    <row r="5" spans="1:16" ht="5.0999999999999996" customHeight="1">
      <c r="A5" s="37"/>
      <c r="B5" s="46"/>
      <c r="C5" s="47"/>
      <c r="D5" s="43"/>
      <c r="E5" s="44"/>
      <c r="F5" s="44"/>
      <c r="G5" s="44"/>
      <c r="H5" s="45"/>
      <c r="I5" s="58"/>
      <c r="J5" s="59"/>
      <c r="K5" s="59"/>
      <c r="L5" s="59"/>
      <c r="M5" s="68"/>
      <c r="N5" s="68"/>
      <c r="O5" s="68"/>
      <c r="P5" s="58"/>
    </row>
    <row r="6" spans="1:16" ht="24.95" customHeight="1">
      <c r="A6" s="37"/>
      <c r="B6" s="46"/>
      <c r="C6" s="47"/>
      <c r="D6" s="43" t="s">
        <v>1</v>
      </c>
      <c r="E6" s="76"/>
      <c r="F6" s="76"/>
      <c r="G6" s="44"/>
      <c r="H6" s="45"/>
      <c r="I6" s="58"/>
      <c r="J6" s="59" t="s">
        <v>1</v>
      </c>
      <c r="K6" s="69"/>
      <c r="L6" s="69"/>
      <c r="M6" s="69"/>
      <c r="N6" s="69"/>
      <c r="O6" s="59"/>
      <c r="P6" s="58"/>
    </row>
    <row r="7" spans="1:16" ht="5.0999999999999996" customHeight="1">
      <c r="A7" s="37"/>
      <c r="B7" s="46"/>
      <c r="C7" s="47"/>
      <c r="D7" s="43"/>
      <c r="E7" s="44"/>
      <c r="F7" s="44"/>
      <c r="G7" s="44"/>
      <c r="H7" s="45"/>
      <c r="I7" s="58"/>
      <c r="J7" s="59"/>
      <c r="K7" s="59"/>
      <c r="L7" s="59"/>
      <c r="M7" s="59"/>
      <c r="N7" s="59"/>
      <c r="O7" s="59"/>
      <c r="P7" s="58"/>
    </row>
    <row r="8" spans="1:16" ht="24.95" customHeight="1">
      <c r="A8" s="37"/>
      <c r="B8" s="46"/>
      <c r="C8" s="47"/>
      <c r="D8" s="43" t="s">
        <v>2</v>
      </c>
      <c r="E8" s="72" t="str">
        <f>IFERROR(INDEX(治具庫!B:B, MATCH(E6, 治具庫!A:A, 0)), "")</f>
        <v/>
      </c>
      <c r="F8" s="72"/>
      <c r="G8" s="44"/>
      <c r="H8" s="45"/>
      <c r="I8" s="58"/>
      <c r="J8" s="59" t="s">
        <v>2</v>
      </c>
      <c r="K8" s="72"/>
      <c r="L8" s="73"/>
      <c r="M8" s="73"/>
      <c r="N8" s="73"/>
      <c r="O8" s="59"/>
      <c r="P8" s="58"/>
    </row>
    <row r="9" spans="1:16" ht="5.0999999999999996" customHeight="1">
      <c r="A9" s="37"/>
      <c r="B9" s="46"/>
      <c r="C9" s="47"/>
      <c r="D9" s="43"/>
      <c r="E9" s="44"/>
      <c r="F9" s="44"/>
      <c r="G9" s="44"/>
      <c r="H9" s="45"/>
      <c r="I9" s="58"/>
      <c r="J9" s="59"/>
      <c r="K9" s="59"/>
      <c r="L9" s="59"/>
      <c r="M9" s="59"/>
      <c r="N9" s="59"/>
      <c r="O9" s="59"/>
      <c r="P9" s="58"/>
    </row>
    <row r="10" spans="1:16" ht="24.95" customHeight="1">
      <c r="A10" s="37"/>
      <c r="B10" s="46"/>
      <c r="C10" s="47"/>
      <c r="D10" s="43" t="s">
        <v>3</v>
      </c>
      <c r="E10" s="72" t="str">
        <f>IFERROR(INDEX(治具庫!C:C, MATCH(E6, 治具庫!A:A, 0)), "")</f>
        <v/>
      </c>
      <c r="F10" s="72"/>
      <c r="G10" s="44"/>
      <c r="H10" s="45"/>
      <c r="I10" s="58"/>
      <c r="J10" s="59" t="s">
        <v>3</v>
      </c>
      <c r="K10" s="72"/>
      <c r="L10" s="73"/>
      <c r="M10" s="73"/>
      <c r="N10" s="73"/>
      <c r="O10" s="59"/>
      <c r="P10" s="58"/>
    </row>
    <row r="11" spans="1:16" ht="5.0999999999999996" customHeight="1">
      <c r="A11" s="37"/>
      <c r="B11" s="46"/>
      <c r="C11" s="47"/>
      <c r="D11" s="43"/>
      <c r="E11" s="44"/>
      <c r="F11" s="44"/>
      <c r="G11" s="44"/>
      <c r="H11" s="45"/>
      <c r="I11" s="58"/>
      <c r="J11" s="59"/>
      <c r="K11" s="59"/>
      <c r="L11" s="59"/>
      <c r="M11" s="59"/>
      <c r="N11" s="59"/>
      <c r="O11" s="59"/>
      <c r="P11" s="58"/>
    </row>
    <row r="12" spans="1:16" ht="24.95" customHeight="1">
      <c r="A12" s="37"/>
      <c r="B12" s="46"/>
      <c r="C12" s="47"/>
      <c r="D12" s="43" t="s">
        <v>19</v>
      </c>
      <c r="E12" s="48" t="s">
        <v>7</v>
      </c>
      <c r="F12" s="48" t="s">
        <v>8</v>
      </c>
      <c r="G12" s="49" t="s">
        <v>7</v>
      </c>
      <c r="H12" s="45"/>
      <c r="I12" s="58"/>
      <c r="J12" s="59" t="s">
        <v>13</v>
      </c>
      <c r="K12" s="72"/>
      <c r="L12" s="73"/>
      <c r="M12" s="73"/>
      <c r="N12" s="73"/>
      <c r="O12" s="59"/>
      <c r="P12" s="58"/>
    </row>
    <row r="13" spans="1:16" ht="5.0999999999999996" customHeight="1">
      <c r="A13" s="37"/>
      <c r="B13" s="46"/>
      <c r="C13" s="47"/>
      <c r="D13" s="43"/>
      <c r="E13" s="44"/>
      <c r="F13" s="44"/>
      <c r="G13" s="44"/>
      <c r="H13" s="45"/>
      <c r="I13" s="58"/>
      <c r="J13" s="59"/>
      <c r="K13" s="59"/>
      <c r="L13" s="59"/>
      <c r="M13" s="59"/>
      <c r="N13" s="59"/>
      <c r="O13" s="59"/>
      <c r="P13" s="58"/>
    </row>
    <row r="14" spans="1:16" ht="24.95" customHeight="1">
      <c r="A14" s="37"/>
      <c r="B14" s="46"/>
      <c r="C14" s="47"/>
      <c r="D14" s="43" t="s">
        <v>5</v>
      </c>
      <c r="E14" s="67"/>
      <c r="F14" s="67"/>
      <c r="G14" s="44"/>
      <c r="H14" s="45"/>
      <c r="I14" s="58"/>
      <c r="J14" s="59" t="s">
        <v>70</v>
      </c>
      <c r="K14" s="72"/>
      <c r="L14" s="73"/>
      <c r="M14" s="73"/>
      <c r="N14" s="73"/>
      <c r="O14" s="59"/>
      <c r="P14" s="58"/>
    </row>
    <row r="15" spans="1:16" ht="5.0999999999999996" customHeight="1">
      <c r="A15" s="37"/>
      <c r="B15" s="46"/>
      <c r="C15" s="47"/>
      <c r="D15" s="43"/>
      <c r="E15" s="44"/>
      <c r="F15" s="44"/>
      <c r="G15" s="44"/>
      <c r="H15" s="45"/>
      <c r="I15" s="58"/>
      <c r="J15" s="59"/>
      <c r="K15" s="59"/>
      <c r="L15" s="59"/>
      <c r="M15" s="59"/>
      <c r="N15" s="59"/>
      <c r="O15" s="59"/>
      <c r="P15" s="58"/>
    </row>
    <row r="16" spans="1:16" ht="24.95" customHeight="1">
      <c r="A16" s="37"/>
      <c r="B16" s="46"/>
      <c r="C16" s="47"/>
      <c r="D16" s="43" t="s">
        <v>12</v>
      </c>
      <c r="E16" s="71"/>
      <c r="F16" s="71"/>
      <c r="G16" s="44"/>
      <c r="H16" s="45"/>
      <c r="I16" s="58"/>
      <c r="J16" s="59" t="s">
        <v>94</v>
      </c>
      <c r="K16" s="77"/>
      <c r="L16" s="77"/>
      <c r="M16" s="77"/>
      <c r="N16" s="77"/>
      <c r="O16" s="59"/>
      <c r="P16" s="58"/>
    </row>
    <row r="17" spans="1:16" ht="5.0999999999999996" customHeight="1">
      <c r="A17" s="37"/>
      <c r="B17" s="46"/>
      <c r="C17" s="47"/>
      <c r="D17" s="43"/>
      <c r="E17" s="44"/>
      <c r="F17" s="44"/>
      <c r="G17" s="44"/>
      <c r="H17" s="45"/>
      <c r="I17" s="58"/>
      <c r="J17" s="59"/>
      <c r="K17" s="59"/>
      <c r="L17" s="59"/>
      <c r="M17" s="59" t="s">
        <v>57</v>
      </c>
      <c r="N17" s="59"/>
      <c r="O17" s="59"/>
      <c r="P17" s="58"/>
    </row>
    <row r="18" spans="1:16" ht="24.95" customHeight="1">
      <c r="A18" s="37"/>
      <c r="B18" s="46"/>
      <c r="C18" s="47"/>
      <c r="D18" s="43" t="s">
        <v>287</v>
      </c>
      <c r="E18" s="70" t="str">
        <f>IFERROR(INDEX(治具庫!G:G, MATCH(E6, 治具庫!A:A, 0)), "")</f>
        <v/>
      </c>
      <c r="F18" s="70"/>
      <c r="G18" s="44"/>
      <c r="H18" s="45"/>
      <c r="I18" s="58"/>
      <c r="J18" s="59" t="s">
        <v>95</v>
      </c>
      <c r="K18" s="77"/>
      <c r="L18" s="78"/>
      <c r="M18" s="78"/>
      <c r="N18" s="78"/>
      <c r="O18" s="59"/>
      <c r="P18" s="58"/>
    </row>
    <row r="19" spans="1:16" ht="5.0999999999999996" customHeight="1">
      <c r="A19" s="37"/>
      <c r="B19" s="46"/>
      <c r="C19" s="47"/>
      <c r="D19" s="43"/>
      <c r="E19" s="44"/>
      <c r="F19" s="44"/>
      <c r="G19" s="44"/>
      <c r="H19" s="45"/>
      <c r="I19" s="58"/>
      <c r="J19" s="59"/>
      <c r="K19" s="59"/>
      <c r="L19" s="59"/>
      <c r="M19" s="59" t="s">
        <v>57</v>
      </c>
      <c r="N19" s="59"/>
      <c r="O19" s="59"/>
      <c r="P19" s="58"/>
    </row>
    <row r="20" spans="1:16" ht="24.95" customHeight="1">
      <c r="A20" s="37"/>
      <c r="B20" s="46"/>
      <c r="C20" s="47"/>
      <c r="D20" s="43" t="s">
        <v>288</v>
      </c>
      <c r="E20" s="70" t="str">
        <f>IFERROR(INDEX(治具庫!E:E, MATCH(E6, 治具庫!A:A, 0)), "")</f>
        <v/>
      </c>
      <c r="F20" s="70"/>
      <c r="G20" s="44"/>
      <c r="H20" s="45"/>
      <c r="I20" s="58"/>
      <c r="J20" s="59"/>
      <c r="K20" s="59"/>
      <c r="L20" s="59"/>
      <c r="M20" s="59"/>
      <c r="N20" s="59"/>
      <c r="O20" s="59"/>
      <c r="P20" s="58"/>
    </row>
    <row r="21" spans="1:16" ht="5.0999999999999996" customHeight="1">
      <c r="A21" s="37"/>
      <c r="B21" s="46"/>
      <c r="C21" s="47"/>
      <c r="D21" s="43"/>
      <c r="E21" s="44"/>
      <c r="F21" s="44"/>
      <c r="G21" s="44"/>
      <c r="H21" s="45"/>
      <c r="I21" s="58"/>
      <c r="J21" s="59"/>
      <c r="K21" s="59"/>
      <c r="L21" s="59"/>
      <c r="M21" s="59" t="s">
        <v>57</v>
      </c>
      <c r="N21" s="59"/>
      <c r="O21" s="59"/>
      <c r="P21" s="58"/>
    </row>
    <row r="22" spans="1:16" ht="24.75" customHeight="1">
      <c r="A22" s="37"/>
      <c r="B22" s="46"/>
      <c r="C22" s="47"/>
      <c r="D22" s="43" t="s">
        <v>70</v>
      </c>
      <c r="E22" s="70" t="str">
        <f>IFERROR(INDEX(不良品!G:G, MATCH(E6, 不良品!A:A, 0)), "")</f>
        <v/>
      </c>
      <c r="F22" s="70"/>
      <c r="G22" s="44"/>
      <c r="H22" s="40"/>
      <c r="I22" s="60"/>
      <c r="J22" s="59"/>
      <c r="K22" s="59"/>
      <c r="L22" s="59"/>
      <c r="M22" s="59"/>
      <c r="N22" s="59"/>
      <c r="O22" s="59"/>
      <c r="P22" s="58"/>
    </row>
    <row r="23" spans="1:16" ht="5.0999999999999996" customHeight="1">
      <c r="A23" s="37"/>
      <c r="B23" s="46"/>
      <c r="C23" s="47"/>
      <c r="D23" s="43"/>
      <c r="E23" s="44"/>
      <c r="F23" s="44"/>
      <c r="G23" s="44"/>
      <c r="H23" s="40"/>
      <c r="I23" s="60"/>
      <c r="J23" s="59"/>
      <c r="K23" s="59"/>
      <c r="L23" s="59"/>
      <c r="M23" s="59"/>
      <c r="N23" s="59"/>
      <c r="O23" s="59"/>
      <c r="P23" s="58"/>
    </row>
    <row r="24" spans="1:16" ht="25.05" customHeight="1">
      <c r="A24" s="37"/>
      <c r="B24" s="46"/>
      <c r="C24" s="47"/>
      <c r="D24" s="43" t="s">
        <v>308</v>
      </c>
      <c r="E24" s="67" t="s">
        <v>339</v>
      </c>
      <c r="F24" s="67"/>
      <c r="G24" s="44"/>
      <c r="H24" s="40"/>
      <c r="I24" s="60"/>
      <c r="J24" s="58"/>
      <c r="K24" s="58"/>
      <c r="L24" s="58"/>
      <c r="M24" s="58"/>
      <c r="N24" s="58"/>
      <c r="O24" s="58"/>
      <c r="P24" s="58"/>
    </row>
    <row r="25" spans="1:16" ht="5.0999999999999996" customHeight="1">
      <c r="A25" s="37"/>
      <c r="B25" s="46"/>
      <c r="C25" s="47"/>
      <c r="D25" s="43"/>
      <c r="E25" s="44"/>
      <c r="F25" s="44"/>
      <c r="G25" s="44"/>
      <c r="H25" s="40"/>
      <c r="I25" s="60"/>
      <c r="J25" s="58"/>
      <c r="K25" s="58"/>
      <c r="L25" s="58"/>
      <c r="M25" s="58"/>
      <c r="N25" s="58"/>
      <c r="O25" s="58"/>
      <c r="P25" s="58"/>
    </row>
    <row r="26" spans="1:16" ht="25.05" customHeight="1" thickBot="1">
      <c r="A26" s="37"/>
      <c r="B26" s="38"/>
      <c r="C26" s="38"/>
      <c r="D26" s="43" t="s">
        <v>333</v>
      </c>
      <c r="E26" s="67" t="s">
        <v>340</v>
      </c>
      <c r="F26" s="67"/>
      <c r="G26" s="44"/>
      <c r="H26" s="40"/>
      <c r="I26" s="58"/>
      <c r="J26" s="58"/>
      <c r="K26" s="58"/>
      <c r="L26" s="58"/>
      <c r="M26" s="58"/>
      <c r="N26" s="58"/>
      <c r="O26" s="58"/>
      <c r="P26" s="58"/>
    </row>
    <row r="27" spans="1:16" ht="15.75" thickTop="1" thickBot="1">
      <c r="C27" s="55" t="s">
        <v>0</v>
      </c>
      <c r="D27" s="56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12</v>
      </c>
      <c r="J27" s="57" t="s">
        <v>13</v>
      </c>
      <c r="L27" s="50"/>
      <c r="M27" s="51"/>
    </row>
    <row r="28" spans="1:16" s="54" customFormat="1" ht="15.4" thickTop="1">
      <c r="A28" s="50"/>
      <c r="B28" s="51"/>
      <c r="C28" s="50"/>
      <c r="D28" s="52">
        <v>315600127001</v>
      </c>
      <c r="E28" s="41" t="s">
        <v>47</v>
      </c>
      <c r="F28" s="41" t="s">
        <v>46</v>
      </c>
      <c r="G28" s="41"/>
      <c r="H28" s="41">
        <v>22</v>
      </c>
      <c r="I28" s="41"/>
      <c r="J28" s="53"/>
      <c r="K28" s="41"/>
      <c r="L28" s="41"/>
      <c r="M28" s="41"/>
      <c r="N28" s="41"/>
      <c r="O28" s="41"/>
    </row>
    <row r="29" spans="1:16" s="54" customFormat="1">
      <c r="A29" s="50"/>
      <c r="B29" s="51"/>
      <c r="C29" s="50"/>
      <c r="D29" s="52">
        <v>315600850000</v>
      </c>
      <c r="E29" s="41" t="s">
        <v>88</v>
      </c>
      <c r="F29" s="41" t="s">
        <v>89</v>
      </c>
      <c r="G29" s="41"/>
      <c r="H29" s="41">
        <v>7</v>
      </c>
      <c r="I29" s="41"/>
      <c r="J29" s="41"/>
    </row>
    <row r="30" spans="1:16" s="54" customFormat="1">
      <c r="A30" s="50"/>
      <c r="B30" s="51"/>
      <c r="C30" s="50"/>
      <c r="D30" s="52">
        <v>315600771000</v>
      </c>
      <c r="E30" s="41" t="s">
        <v>91</v>
      </c>
      <c r="F30" s="41" t="s">
        <v>92</v>
      </c>
      <c r="G30" s="41"/>
      <c r="H30" s="41">
        <v>38</v>
      </c>
      <c r="I30" s="41"/>
      <c r="J30" s="53"/>
    </row>
    <row r="31" spans="1:16" s="54" customFormat="1">
      <c r="A31" s="50"/>
      <c r="B31" s="51"/>
      <c r="C31" s="50"/>
      <c r="D31" s="52">
        <v>315600881002</v>
      </c>
      <c r="E31" s="41" t="s">
        <v>99</v>
      </c>
      <c r="F31" s="41" t="s">
        <v>100</v>
      </c>
      <c r="G31" s="41"/>
      <c r="H31" s="41">
        <v>63</v>
      </c>
      <c r="I31" s="41"/>
      <c r="J31" s="41"/>
    </row>
    <row r="32" spans="1:16" s="54" customFormat="1">
      <c r="A32" s="50"/>
      <c r="B32" s="51"/>
      <c r="C32" s="50"/>
      <c r="D32" s="52">
        <v>315600917002</v>
      </c>
      <c r="E32" s="41" t="s">
        <v>102</v>
      </c>
      <c r="F32" s="41" t="s">
        <v>103</v>
      </c>
      <c r="G32" s="41"/>
      <c r="H32" s="41">
        <v>41</v>
      </c>
      <c r="I32" s="41"/>
      <c r="J32" s="41"/>
    </row>
    <row r="33" spans="4:8">
      <c r="D33" s="52">
        <v>990000000010</v>
      </c>
      <c r="E33" s="41" t="s">
        <v>128</v>
      </c>
      <c r="F33" s="41" t="s">
        <v>128</v>
      </c>
      <c r="H33" s="41">
        <v>14</v>
      </c>
    </row>
    <row r="34" spans="4:8">
      <c r="D34" s="52">
        <v>315600794000</v>
      </c>
      <c r="E34" s="41" t="s">
        <v>134</v>
      </c>
      <c r="F34" s="41" t="s">
        <v>135</v>
      </c>
      <c r="H34" s="41">
        <v>29</v>
      </c>
    </row>
    <row r="35" spans="4:8">
      <c r="D35" s="52">
        <v>315600415000</v>
      </c>
      <c r="E35" s="41" t="s">
        <v>142</v>
      </c>
      <c r="F35" s="41" t="s">
        <v>143</v>
      </c>
      <c r="H35" s="41">
        <v>29</v>
      </c>
    </row>
    <row r="36" spans="4:8">
      <c r="D36" s="52">
        <v>315601033002</v>
      </c>
      <c r="E36" s="41" t="s">
        <v>148</v>
      </c>
      <c r="F36" s="41" t="s">
        <v>149</v>
      </c>
      <c r="H36" s="41">
        <v>34</v>
      </c>
    </row>
    <row r="37" spans="4:8">
      <c r="D37" s="52">
        <v>315601040000</v>
      </c>
      <c r="E37" s="41" t="s">
        <v>154</v>
      </c>
      <c r="F37" s="41" t="s">
        <v>155</v>
      </c>
      <c r="H37" s="41">
        <v>107</v>
      </c>
    </row>
    <row r="38" spans="4:8">
      <c r="D38" s="52">
        <v>315600660000</v>
      </c>
      <c r="E38" s="41" t="s">
        <v>34</v>
      </c>
      <c r="F38" s="41" t="s">
        <v>157</v>
      </c>
      <c r="H38" s="41">
        <v>24</v>
      </c>
    </row>
    <row r="39" spans="4:8">
      <c r="D39" s="52">
        <v>315601026000</v>
      </c>
      <c r="E39" s="41" t="s">
        <v>158</v>
      </c>
      <c r="F39" s="41" t="s">
        <v>159</v>
      </c>
      <c r="H39" s="41">
        <v>21</v>
      </c>
    </row>
    <row r="40" spans="4:8">
      <c r="D40" s="52">
        <v>315600732001</v>
      </c>
      <c r="E40" s="41" t="s">
        <v>163</v>
      </c>
      <c r="F40" s="41" t="s">
        <v>164</v>
      </c>
      <c r="H40" s="41">
        <v>34</v>
      </c>
    </row>
    <row r="41" spans="4:8">
      <c r="D41" s="52">
        <v>315600998000</v>
      </c>
      <c r="E41" s="41" t="s">
        <v>154</v>
      </c>
      <c r="F41" s="41" t="s">
        <v>179</v>
      </c>
      <c r="H41" s="41">
        <v>61</v>
      </c>
    </row>
    <row r="42" spans="4:8">
      <c r="D42" s="52">
        <v>315601039000</v>
      </c>
      <c r="E42" s="41" t="s">
        <v>209</v>
      </c>
      <c r="F42" s="41" t="s">
        <v>210</v>
      </c>
      <c r="H42" s="41">
        <v>103</v>
      </c>
    </row>
    <row r="43" spans="4:8">
      <c r="D43" s="52">
        <v>315600849000</v>
      </c>
      <c r="E43" s="41" t="s">
        <v>211</v>
      </c>
      <c r="F43" s="41" t="s">
        <v>212</v>
      </c>
      <c r="H43" s="41">
        <v>71</v>
      </c>
    </row>
    <row r="44" spans="4:8">
      <c r="D44" s="52">
        <v>315600737000</v>
      </c>
      <c r="E44" s="41" t="s">
        <v>214</v>
      </c>
      <c r="F44" s="41" t="s">
        <v>215</v>
      </c>
      <c r="H44" s="41">
        <v>43</v>
      </c>
    </row>
    <row r="45" spans="4:8">
      <c r="D45" s="52">
        <v>315600954000</v>
      </c>
      <c r="E45" s="41" t="s">
        <v>217</v>
      </c>
      <c r="F45" s="41" t="s">
        <v>218</v>
      </c>
      <c r="H45" s="41">
        <v>1</v>
      </c>
    </row>
    <row r="46" spans="4:8">
      <c r="D46" s="52">
        <v>315600831001</v>
      </c>
      <c r="E46" s="41" t="s">
        <v>220</v>
      </c>
      <c r="F46" s="41" t="s">
        <v>221</v>
      </c>
      <c r="H46" s="41">
        <v>15</v>
      </c>
    </row>
    <row r="47" spans="4:8">
      <c r="D47" s="52">
        <v>315601095000</v>
      </c>
      <c r="E47" s="41" t="s">
        <v>266</v>
      </c>
      <c r="F47" s="41" t="s">
        <v>267</v>
      </c>
      <c r="H47" s="41">
        <v>0</v>
      </c>
    </row>
    <row r="48" spans="4:8">
      <c r="D48" s="52">
        <v>315601097000</v>
      </c>
      <c r="E48" s="41" t="s">
        <v>271</v>
      </c>
      <c r="F48" s="41" t="s">
        <v>272</v>
      </c>
      <c r="H48" s="41">
        <v>30</v>
      </c>
    </row>
  </sheetData>
  <sheetProtection algorithmName="SHA-512" hashValue="pdQNw+DQJal8Atc9xxnGGCprrccrrjbVrL1xlw2a0Cj9mTBnyVfv+gjskv32DWrG1xeP7kAgdP17IkG+S6Kiqg==" saltValue="F/I97SjejzekOdJmlmPM+Q==" spinCount="100000" sheet="1" objects="1" scenarios="1"/>
  <protectedRanges>
    <protectedRange algorithmName="SHA-512" hashValue="52IzLxWcUcBuLUBgPNbAKQqxrwRrdEGHh08+GtN0JPfP+MTiYHi2bp1o9Dq/Amgaewsko5CPORtjPlH1JeumzA==" saltValue="RhWbtmmxuM0lHPRumKcJIA==" spinCount="100000" sqref="E8 E10 G12 E18 E20 E22" name="操作介面"/>
  </protectedRanges>
  <mergeCells count="20">
    <mergeCell ref="E26:F26"/>
    <mergeCell ref="P2:P4"/>
    <mergeCell ref="E4:F4"/>
    <mergeCell ref="E6:F6"/>
    <mergeCell ref="E8:F8"/>
    <mergeCell ref="E10:F10"/>
    <mergeCell ref="E14:F14"/>
    <mergeCell ref="E24:F24"/>
    <mergeCell ref="M5:O5"/>
    <mergeCell ref="K6:N6"/>
    <mergeCell ref="E18:F18"/>
    <mergeCell ref="E16:F16"/>
    <mergeCell ref="K8:N8"/>
    <mergeCell ref="K10:N10"/>
    <mergeCell ref="K12:N12"/>
    <mergeCell ref="K14:N14"/>
    <mergeCell ref="K16:N16"/>
    <mergeCell ref="E22:F22"/>
    <mergeCell ref="E20:F20"/>
    <mergeCell ref="K18:N18"/>
  </mergeCells>
  <phoneticPr fontId="1" type="noConversion"/>
  <conditionalFormatting sqref="E12">
    <cfRule type="expression" dxfId="95" priority="3">
      <formula>$G$12="入庫"</formula>
    </cfRule>
    <cfRule type="expression" dxfId="94" priority="4">
      <formula>$G$12&lt;&gt;"入庫"</formula>
    </cfRule>
  </conditionalFormatting>
  <conditionalFormatting sqref="F12">
    <cfRule type="expression" dxfId="93" priority="1">
      <formula>$G$12="出庫"</formula>
    </cfRule>
    <cfRule type="expression" dxfId="92" priority="2">
      <formula>$G$12&lt;&gt;"出庫"</formula>
    </cfRule>
  </conditionalFormatting>
  <dataValidations count="1">
    <dataValidation type="custom" allowBlank="1" showInputMessage="1" showErrorMessage="1" sqref="K13:N13" xr:uid="{6853213B-D8E4-4ED0-A45B-041CFF546707}">
      <formula1>AND(LEN(E13) = 9, EXACT(LEFT(E13, 1), "B"), EXACT(MID(E13, 6, 1), "A"), MID(E13, 2, 1) = "1", MID(E13, 3, 1) = "5")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217C55A-09AC-40C5-A3E5-1715D0D0CD25}">
          <x14:formula1>
            <xm:f>_xlfn.ANCHORARRAY(數據庫!$C$2)</xm:f>
          </x14:formula1>
          <xm:sqref>E16:F16</xm:sqref>
        </x14:dataValidation>
        <x14:dataValidation type="list" allowBlank="1" showInputMessage="1" showErrorMessage="1" xr:uid="{27646D85-F9EA-4859-A708-E118284510C3}">
          <x14:formula1>
            <xm:f>_xlfn.ANCHORARRAY(數據庫!$E$2)</xm:f>
          </x14:formula1>
          <xm:sqref>E26:F26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29D9-6CDB-4221-8757-871B1B76FD9E}">
  <sheetPr codeName="工作表3"/>
  <dimension ref="A1:H172"/>
  <sheetViews>
    <sheetView zoomScale="40" zoomScaleNormal="40" workbookViewId="0">
      <pane ySplit="1" topLeftCell="A128" activePane="bottomLeft" state="frozen"/>
      <selection activeCell="C221" sqref="C221"/>
      <selection pane="bottomLeft" activeCell="B12" sqref="B12"/>
    </sheetView>
  </sheetViews>
  <sheetFormatPr defaultRowHeight="15"/>
  <cols>
    <col min="1" max="1" width="16.5703125" style="3" bestFit="1" customWidth="1"/>
    <col min="2" max="2" width="16.5703125" style="21" bestFit="1" customWidth="1"/>
    <col min="3" max="3" width="144.2109375" style="3" bestFit="1" customWidth="1"/>
    <col min="4" max="4" width="104.85546875" style="3" bestFit="1" customWidth="1"/>
    <col min="5" max="5" width="19.7109375" style="3" bestFit="1" customWidth="1"/>
    <col min="6" max="7" width="16.5703125" style="3" bestFit="1" customWidth="1"/>
    <col min="8" max="8" width="16.5703125" bestFit="1" customWidth="1"/>
  </cols>
  <sheetData>
    <row r="1" spans="1:8" s="7" customFormat="1" ht="22.9">
      <c r="A1" s="6" t="s">
        <v>0</v>
      </c>
      <c r="B1" s="20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12</v>
      </c>
      <c r="H1" s="9" t="s">
        <v>13</v>
      </c>
    </row>
    <row r="2" spans="1:8">
      <c r="A2" s="5">
        <v>45707</v>
      </c>
      <c r="B2" s="21">
        <v>315600127001</v>
      </c>
      <c r="C2" s="3" t="s">
        <v>47</v>
      </c>
      <c r="D2" s="3" t="s">
        <v>46</v>
      </c>
      <c r="E2" s="3" t="s">
        <v>10</v>
      </c>
      <c r="F2" s="3">
        <v>22</v>
      </c>
      <c r="G2" s="3" t="s">
        <v>44</v>
      </c>
      <c r="H2" s="3">
        <v>1</v>
      </c>
    </row>
    <row r="3" spans="1:8">
      <c r="A3" s="5">
        <v>45708</v>
      </c>
      <c r="B3" s="21">
        <v>315600127001</v>
      </c>
      <c r="C3" s="3" t="s">
        <v>47</v>
      </c>
      <c r="D3" s="3" t="s">
        <v>46</v>
      </c>
      <c r="E3" s="3" t="s">
        <v>48</v>
      </c>
      <c r="F3" s="3">
        <v>22</v>
      </c>
      <c r="G3" s="3" t="s">
        <v>49</v>
      </c>
      <c r="H3" s="3">
        <v>1</v>
      </c>
    </row>
    <row r="4" spans="1:8">
      <c r="A4" s="5">
        <v>45708</v>
      </c>
      <c r="B4" s="21">
        <v>315600217001</v>
      </c>
      <c r="C4" s="3" t="s">
        <v>50</v>
      </c>
      <c r="D4" s="3" t="s">
        <v>51</v>
      </c>
      <c r="E4" s="3" t="s">
        <v>10</v>
      </c>
      <c r="F4" s="3">
        <v>132</v>
      </c>
      <c r="G4" s="3" t="s">
        <v>44</v>
      </c>
      <c r="H4" s="3">
        <v>2</v>
      </c>
    </row>
    <row r="5" spans="1:8">
      <c r="A5" s="5">
        <v>45708</v>
      </c>
      <c r="B5" s="21">
        <v>315600217001</v>
      </c>
      <c r="C5" s="3" t="s">
        <v>50</v>
      </c>
      <c r="D5" s="3" t="s">
        <v>51</v>
      </c>
      <c r="E5" s="3" t="s">
        <v>48</v>
      </c>
      <c r="F5" s="3">
        <v>132</v>
      </c>
      <c r="G5" s="3" t="s">
        <v>49</v>
      </c>
      <c r="H5" s="3">
        <v>2</v>
      </c>
    </row>
    <row r="6" spans="1:8">
      <c r="A6" s="5">
        <v>45708</v>
      </c>
      <c r="B6" s="21">
        <v>315600868001</v>
      </c>
      <c r="C6" s="3" t="s">
        <v>52</v>
      </c>
      <c r="D6" s="3" t="s">
        <v>53</v>
      </c>
      <c r="E6" s="3" t="s">
        <v>10</v>
      </c>
      <c r="F6" s="3">
        <v>28</v>
      </c>
      <c r="G6" s="3" t="s">
        <v>44</v>
      </c>
      <c r="H6" s="3">
        <v>3</v>
      </c>
    </row>
    <row r="7" spans="1:8">
      <c r="A7" s="5">
        <v>45708</v>
      </c>
      <c r="B7" s="21">
        <v>315600868001</v>
      </c>
      <c r="C7" s="3" t="s">
        <v>52</v>
      </c>
      <c r="D7" s="3" t="s">
        <v>53</v>
      </c>
      <c r="E7" s="3" t="s">
        <v>48</v>
      </c>
      <c r="F7" s="3">
        <v>28</v>
      </c>
      <c r="G7" s="3" t="s">
        <v>49</v>
      </c>
      <c r="H7" s="3">
        <v>3</v>
      </c>
    </row>
    <row r="8" spans="1:8">
      <c r="A8" s="5">
        <v>45708</v>
      </c>
      <c r="B8" s="21">
        <v>315600869000</v>
      </c>
      <c r="C8" s="3" t="s">
        <v>54</v>
      </c>
      <c r="D8" s="3" t="s">
        <v>55</v>
      </c>
      <c r="E8" s="3" t="s">
        <v>10</v>
      </c>
      <c r="F8" s="3">
        <v>214</v>
      </c>
      <c r="G8" s="3" t="s">
        <v>44</v>
      </c>
      <c r="H8" s="3">
        <v>4</v>
      </c>
    </row>
    <row r="9" spans="1:8">
      <c r="A9" s="5">
        <v>45708</v>
      </c>
      <c r="B9" s="21">
        <v>315600869000</v>
      </c>
      <c r="C9" s="3" t="s">
        <v>54</v>
      </c>
      <c r="D9" s="3" t="s">
        <v>55</v>
      </c>
      <c r="E9" s="3" t="s">
        <v>48</v>
      </c>
      <c r="F9" s="3">
        <v>214</v>
      </c>
      <c r="G9" s="3" t="s">
        <v>49</v>
      </c>
      <c r="H9" s="3">
        <v>4</v>
      </c>
    </row>
    <row r="10" spans="1:8">
      <c r="A10" s="5">
        <v>45708</v>
      </c>
      <c r="B10" s="21">
        <v>315601091000</v>
      </c>
      <c r="C10" s="3" t="s">
        <v>42</v>
      </c>
      <c r="D10" s="3" t="s">
        <v>43</v>
      </c>
      <c r="E10" s="3" t="s">
        <v>10</v>
      </c>
      <c r="F10" s="3">
        <v>110</v>
      </c>
      <c r="G10" s="3" t="s">
        <v>44</v>
      </c>
      <c r="H10" s="3">
        <v>5</v>
      </c>
    </row>
    <row r="11" spans="1:8">
      <c r="A11" s="5">
        <v>45708</v>
      </c>
      <c r="B11" s="21">
        <v>315601091000</v>
      </c>
      <c r="C11" s="3" t="s">
        <v>42</v>
      </c>
      <c r="D11" s="3" t="s">
        <v>43</v>
      </c>
      <c r="E11" s="3" t="s">
        <v>48</v>
      </c>
      <c r="F11" s="3">
        <v>110</v>
      </c>
      <c r="G11" s="3" t="s">
        <v>49</v>
      </c>
      <c r="H11" s="3">
        <v>5</v>
      </c>
    </row>
    <row r="12" spans="1:8">
      <c r="A12" s="5">
        <v>45708</v>
      </c>
      <c r="B12" s="21">
        <v>319100042008</v>
      </c>
      <c r="C12" s="3" t="s">
        <v>33</v>
      </c>
      <c r="D12" s="3" t="s">
        <v>56</v>
      </c>
      <c r="E12" s="3" t="s">
        <v>10</v>
      </c>
      <c r="F12" s="3">
        <v>151</v>
      </c>
      <c r="G12" s="3" t="s">
        <v>44</v>
      </c>
      <c r="H12" s="3">
        <v>6</v>
      </c>
    </row>
    <row r="13" spans="1:8">
      <c r="A13" s="5">
        <v>45708</v>
      </c>
      <c r="B13" s="21">
        <v>319100042008</v>
      </c>
      <c r="C13" s="3" t="s">
        <v>33</v>
      </c>
      <c r="D13" s="3" t="s">
        <v>56</v>
      </c>
      <c r="E13" s="3" t="s">
        <v>48</v>
      </c>
      <c r="F13" s="3">
        <v>151</v>
      </c>
      <c r="G13" s="3" t="s">
        <v>49</v>
      </c>
      <c r="H13" s="3">
        <v>6</v>
      </c>
    </row>
    <row r="14" spans="1:8">
      <c r="A14" s="5">
        <v>45708</v>
      </c>
      <c r="B14" s="21">
        <v>315600821003</v>
      </c>
      <c r="C14" s="3" t="s">
        <v>32</v>
      </c>
      <c r="D14" s="3" t="s">
        <v>58</v>
      </c>
      <c r="E14" s="3" t="s">
        <v>10</v>
      </c>
      <c r="F14" s="3">
        <v>304</v>
      </c>
      <c r="G14" s="3" t="s">
        <v>44</v>
      </c>
      <c r="H14" s="3">
        <v>8</v>
      </c>
    </row>
    <row r="15" spans="1:8">
      <c r="A15" s="5">
        <v>45708</v>
      </c>
      <c r="B15" s="21">
        <v>315600821003</v>
      </c>
      <c r="C15" s="3" t="s">
        <v>32</v>
      </c>
      <c r="D15" s="3" t="s">
        <v>58</v>
      </c>
      <c r="E15" s="3" t="s">
        <v>48</v>
      </c>
      <c r="F15" s="3">
        <v>304</v>
      </c>
      <c r="G15" s="3" t="s">
        <v>49</v>
      </c>
      <c r="H15" s="3">
        <v>8</v>
      </c>
    </row>
    <row r="16" spans="1:8">
      <c r="A16" s="5">
        <v>45708</v>
      </c>
      <c r="B16" s="21">
        <v>315600869000</v>
      </c>
      <c r="C16" s="3" t="s">
        <v>54</v>
      </c>
      <c r="D16" s="3" t="s">
        <v>55</v>
      </c>
      <c r="E16" s="3" t="s">
        <v>10</v>
      </c>
      <c r="F16" s="3">
        <v>48</v>
      </c>
      <c r="G16" s="3" t="s">
        <v>44</v>
      </c>
      <c r="H16" s="3">
        <v>4</v>
      </c>
    </row>
    <row r="17" spans="1:8">
      <c r="A17" s="5">
        <v>45708</v>
      </c>
      <c r="B17" s="21">
        <v>315600869000</v>
      </c>
      <c r="C17" s="3" t="s">
        <v>54</v>
      </c>
      <c r="D17" s="3" t="s">
        <v>55</v>
      </c>
      <c r="E17" s="3" t="s">
        <v>48</v>
      </c>
      <c r="F17" s="3">
        <v>48</v>
      </c>
      <c r="G17" s="3" t="s">
        <v>49</v>
      </c>
      <c r="H17" s="3">
        <v>4</v>
      </c>
    </row>
    <row r="18" spans="1:8">
      <c r="A18" s="5">
        <v>45708</v>
      </c>
      <c r="B18" s="21">
        <v>315600734000</v>
      </c>
      <c r="C18" s="3" t="s">
        <v>60</v>
      </c>
      <c r="D18" s="3" t="s">
        <v>61</v>
      </c>
      <c r="E18" s="3" t="s">
        <v>10</v>
      </c>
      <c r="F18" s="3">
        <v>5</v>
      </c>
      <c r="G18" s="3" t="s">
        <v>44</v>
      </c>
      <c r="H18" s="3">
        <v>11</v>
      </c>
    </row>
    <row r="19" spans="1:8">
      <c r="A19" s="5">
        <v>45708</v>
      </c>
      <c r="B19" s="21">
        <v>315600734000</v>
      </c>
      <c r="C19" s="3" t="s">
        <v>60</v>
      </c>
      <c r="D19" s="3" t="s">
        <v>61</v>
      </c>
      <c r="E19" s="3" t="s">
        <v>48</v>
      </c>
      <c r="F19" s="3">
        <v>5</v>
      </c>
      <c r="G19" s="3" t="s">
        <v>49</v>
      </c>
      <c r="H19" s="3">
        <v>11</v>
      </c>
    </row>
    <row r="20" spans="1:8">
      <c r="A20" s="5">
        <v>45708</v>
      </c>
      <c r="B20" s="21">
        <v>990000000004</v>
      </c>
      <c r="C20" s="3" t="s">
        <v>63</v>
      </c>
      <c r="D20" s="3" t="s">
        <v>64</v>
      </c>
      <c r="E20" s="3" t="s">
        <v>10</v>
      </c>
      <c r="F20" s="3">
        <v>25</v>
      </c>
      <c r="G20" s="3" t="s">
        <v>44</v>
      </c>
      <c r="H20" s="3">
        <v>12</v>
      </c>
    </row>
    <row r="21" spans="1:8">
      <c r="A21" s="5">
        <v>45708</v>
      </c>
      <c r="B21" s="21">
        <v>990000000004</v>
      </c>
      <c r="C21" s="3" t="s">
        <v>63</v>
      </c>
      <c r="D21" s="3" t="s">
        <v>64</v>
      </c>
      <c r="E21" s="3" t="s">
        <v>48</v>
      </c>
      <c r="F21" s="3">
        <v>25</v>
      </c>
      <c r="G21" s="3" t="s">
        <v>49</v>
      </c>
      <c r="H21" s="3">
        <v>12</v>
      </c>
    </row>
    <row r="22" spans="1:8">
      <c r="A22" s="5">
        <v>45708</v>
      </c>
      <c r="B22" s="21">
        <v>315600602000</v>
      </c>
      <c r="C22" s="3" t="s">
        <v>65</v>
      </c>
      <c r="D22" s="3" t="s">
        <v>66</v>
      </c>
      <c r="E22" s="3" t="s">
        <v>10</v>
      </c>
      <c r="F22" s="3">
        <v>11</v>
      </c>
      <c r="G22" s="3" t="s">
        <v>44</v>
      </c>
      <c r="H22" s="3">
        <v>13</v>
      </c>
    </row>
    <row r="23" spans="1:8">
      <c r="A23" s="5">
        <v>45708</v>
      </c>
      <c r="B23" s="21">
        <v>315600602000</v>
      </c>
      <c r="C23" s="3" t="s">
        <v>65</v>
      </c>
      <c r="D23" s="3" t="s">
        <v>66</v>
      </c>
      <c r="E23" s="3" t="s">
        <v>48</v>
      </c>
      <c r="F23" s="3">
        <v>11</v>
      </c>
      <c r="G23" s="3" t="s">
        <v>49</v>
      </c>
      <c r="H23" s="3">
        <v>13</v>
      </c>
    </row>
    <row r="24" spans="1:8">
      <c r="A24" s="5">
        <v>45708</v>
      </c>
      <c r="B24" s="21">
        <v>315600716001</v>
      </c>
      <c r="C24" s="3" t="s">
        <v>67</v>
      </c>
      <c r="D24" s="3" t="s">
        <v>68</v>
      </c>
      <c r="E24" s="3" t="s">
        <v>10</v>
      </c>
      <c r="F24" s="3">
        <v>83</v>
      </c>
      <c r="G24" s="3" t="s">
        <v>44</v>
      </c>
      <c r="H24" s="3">
        <v>14</v>
      </c>
    </row>
    <row r="25" spans="1:8">
      <c r="A25" s="5">
        <v>45708</v>
      </c>
      <c r="B25" s="21">
        <v>315600716001</v>
      </c>
      <c r="C25" s="3" t="s">
        <v>67</v>
      </c>
      <c r="D25" s="3" t="s">
        <v>68</v>
      </c>
      <c r="E25" s="3" t="s">
        <v>48</v>
      </c>
      <c r="F25" s="3">
        <v>83</v>
      </c>
      <c r="G25" s="3" t="s">
        <v>49</v>
      </c>
      <c r="H25" s="3">
        <v>14</v>
      </c>
    </row>
    <row r="26" spans="1:8">
      <c r="A26" s="5">
        <v>45708</v>
      </c>
      <c r="B26" s="21">
        <v>315600850000</v>
      </c>
      <c r="C26" s="3" t="s">
        <v>88</v>
      </c>
      <c r="D26" s="3" t="s">
        <v>89</v>
      </c>
      <c r="E26" s="3" t="s">
        <v>10</v>
      </c>
      <c r="F26" s="3">
        <v>7</v>
      </c>
      <c r="G26" s="3" t="s">
        <v>44</v>
      </c>
      <c r="H26" s="3">
        <v>15</v>
      </c>
    </row>
    <row r="27" spans="1:8">
      <c r="A27" s="5">
        <v>45709</v>
      </c>
      <c r="B27" s="21">
        <v>315600850000</v>
      </c>
      <c r="C27" s="3" t="s">
        <v>88</v>
      </c>
      <c r="D27" s="3" t="s">
        <v>89</v>
      </c>
      <c r="E27" s="3" t="s">
        <v>48</v>
      </c>
      <c r="F27" s="3">
        <v>7</v>
      </c>
      <c r="G27" s="3" t="s">
        <v>49</v>
      </c>
      <c r="H27" s="3">
        <v>15</v>
      </c>
    </row>
    <row r="28" spans="1:8">
      <c r="A28" s="5">
        <v>45709</v>
      </c>
      <c r="B28" s="21">
        <v>315600771000</v>
      </c>
      <c r="C28" s="3" t="s">
        <v>91</v>
      </c>
      <c r="D28" s="3" t="s">
        <v>92</v>
      </c>
      <c r="E28" s="3" t="s">
        <v>10</v>
      </c>
      <c r="F28" s="3">
        <v>18</v>
      </c>
      <c r="G28" s="3" t="s">
        <v>44</v>
      </c>
      <c r="H28" s="3">
        <v>16</v>
      </c>
    </row>
    <row r="29" spans="1:8">
      <c r="A29" s="5">
        <v>45709</v>
      </c>
      <c r="B29" s="21">
        <v>315600771000</v>
      </c>
      <c r="C29" s="3" t="s">
        <v>91</v>
      </c>
      <c r="D29" s="3" t="s">
        <v>92</v>
      </c>
      <c r="E29" s="3" t="s">
        <v>48</v>
      </c>
      <c r="F29" s="3">
        <v>18</v>
      </c>
      <c r="G29" s="3" t="s">
        <v>49</v>
      </c>
      <c r="H29" s="3">
        <v>16</v>
      </c>
    </row>
    <row r="30" spans="1:8">
      <c r="A30" s="5">
        <v>45712</v>
      </c>
      <c r="B30" s="21">
        <v>315600771000</v>
      </c>
      <c r="C30" s="3" t="s">
        <v>91</v>
      </c>
      <c r="D30" s="3" t="s">
        <v>92</v>
      </c>
      <c r="E30" s="3" t="s">
        <v>10</v>
      </c>
      <c r="F30" s="3">
        <v>16</v>
      </c>
      <c r="G30" s="3" t="s">
        <v>44</v>
      </c>
      <c r="H30" s="3">
        <v>16</v>
      </c>
    </row>
    <row r="31" spans="1:8">
      <c r="A31" s="5">
        <v>45712</v>
      </c>
      <c r="B31" s="21">
        <v>315600771000</v>
      </c>
      <c r="C31" s="3" t="s">
        <v>91</v>
      </c>
      <c r="D31" s="3" t="s">
        <v>92</v>
      </c>
      <c r="E31" s="3" t="s">
        <v>48</v>
      </c>
      <c r="F31" s="3">
        <v>16</v>
      </c>
      <c r="G31" s="3" t="s">
        <v>49</v>
      </c>
      <c r="H31" s="3">
        <v>16</v>
      </c>
    </row>
    <row r="32" spans="1:8">
      <c r="A32" s="5">
        <v>45712</v>
      </c>
      <c r="B32" s="21">
        <v>299900092003</v>
      </c>
      <c r="C32" s="3" t="s">
        <v>96</v>
      </c>
      <c r="D32" s="3" t="s">
        <v>97</v>
      </c>
      <c r="E32" s="3" t="s">
        <v>10</v>
      </c>
      <c r="F32" s="3">
        <v>5</v>
      </c>
      <c r="G32" s="3" t="s">
        <v>44</v>
      </c>
      <c r="H32" s="3">
        <v>17</v>
      </c>
    </row>
    <row r="33" spans="1:8">
      <c r="A33" s="5">
        <v>45712</v>
      </c>
      <c r="B33" s="21">
        <v>299900092003</v>
      </c>
      <c r="C33" s="3" t="s">
        <v>96</v>
      </c>
      <c r="D33" s="3" t="s">
        <v>97</v>
      </c>
      <c r="E33" s="3" t="s">
        <v>48</v>
      </c>
      <c r="F33" s="3">
        <v>5</v>
      </c>
      <c r="G33" s="3" t="s">
        <v>49</v>
      </c>
      <c r="H33" s="3">
        <v>17</v>
      </c>
    </row>
    <row r="34" spans="1:8">
      <c r="A34" s="5">
        <v>45712</v>
      </c>
      <c r="B34" s="21">
        <v>315600881002</v>
      </c>
      <c r="C34" s="3" t="s">
        <v>99</v>
      </c>
      <c r="D34" s="3" t="s">
        <v>100</v>
      </c>
      <c r="E34" s="3" t="s">
        <v>10</v>
      </c>
      <c r="F34" s="3">
        <v>63</v>
      </c>
      <c r="G34" s="3" t="s">
        <v>44</v>
      </c>
      <c r="H34" s="3">
        <v>18</v>
      </c>
    </row>
    <row r="35" spans="1:8">
      <c r="A35" s="5">
        <v>45712</v>
      </c>
      <c r="B35" s="21">
        <v>315600881002</v>
      </c>
      <c r="C35" s="3" t="s">
        <v>99</v>
      </c>
      <c r="D35" s="3" t="s">
        <v>100</v>
      </c>
      <c r="E35" s="3" t="s">
        <v>48</v>
      </c>
      <c r="F35" s="3">
        <v>63</v>
      </c>
      <c r="G35" s="3" t="s">
        <v>49</v>
      </c>
      <c r="H35" s="3">
        <v>18</v>
      </c>
    </row>
    <row r="36" spans="1:8">
      <c r="A36" s="5">
        <v>45712</v>
      </c>
      <c r="B36" s="21">
        <v>315600917002</v>
      </c>
      <c r="C36" s="3" t="s">
        <v>102</v>
      </c>
      <c r="D36" s="3" t="s">
        <v>103</v>
      </c>
      <c r="E36" s="3" t="s">
        <v>10</v>
      </c>
      <c r="F36" s="3">
        <v>41</v>
      </c>
      <c r="G36" s="3" t="s">
        <v>44</v>
      </c>
      <c r="H36" s="3">
        <v>19</v>
      </c>
    </row>
    <row r="37" spans="1:8">
      <c r="A37" s="5">
        <v>45712</v>
      </c>
      <c r="B37" s="21">
        <v>315600917002</v>
      </c>
      <c r="C37" s="3" t="s">
        <v>102</v>
      </c>
      <c r="D37" s="3" t="s">
        <v>103</v>
      </c>
      <c r="E37" s="3" t="s">
        <v>48</v>
      </c>
      <c r="F37" s="3">
        <v>41</v>
      </c>
      <c r="G37" s="3" t="s">
        <v>49</v>
      </c>
      <c r="H37" s="3">
        <v>19</v>
      </c>
    </row>
    <row r="38" spans="1:8">
      <c r="A38" s="5">
        <v>45712</v>
      </c>
      <c r="B38" s="21">
        <v>990000000006</v>
      </c>
      <c r="C38" s="3" t="s">
        <v>106</v>
      </c>
      <c r="D38" s="3" t="s">
        <v>107</v>
      </c>
      <c r="E38" s="3" t="s">
        <v>10</v>
      </c>
      <c r="F38" s="3">
        <v>65</v>
      </c>
      <c r="G38" s="3" t="s">
        <v>44</v>
      </c>
      <c r="H38" s="3">
        <v>21</v>
      </c>
    </row>
    <row r="39" spans="1:8">
      <c r="A39" s="5">
        <v>45712</v>
      </c>
      <c r="B39" s="21">
        <v>990000000006</v>
      </c>
      <c r="C39" s="3" t="s">
        <v>106</v>
      </c>
      <c r="D39" s="3" t="s">
        <v>107</v>
      </c>
      <c r="E39" s="3" t="s">
        <v>48</v>
      </c>
      <c r="F39" s="3">
        <v>65</v>
      </c>
      <c r="G39" s="3" t="s">
        <v>49</v>
      </c>
      <c r="H39" s="3">
        <v>21</v>
      </c>
    </row>
    <row r="40" spans="1:8">
      <c r="A40" s="5">
        <v>45712</v>
      </c>
      <c r="B40" s="21">
        <v>990000000007</v>
      </c>
      <c r="C40" s="3" t="s">
        <v>115</v>
      </c>
      <c r="D40" s="3" t="s">
        <v>115</v>
      </c>
      <c r="E40" s="3" t="s">
        <v>10</v>
      </c>
      <c r="F40" s="3">
        <v>2</v>
      </c>
      <c r="G40" s="3" t="s">
        <v>44</v>
      </c>
      <c r="H40" s="3">
        <v>22</v>
      </c>
    </row>
    <row r="41" spans="1:8">
      <c r="A41" s="5">
        <v>45712</v>
      </c>
      <c r="B41" s="21">
        <v>990000000007</v>
      </c>
      <c r="C41" s="3" t="s">
        <v>115</v>
      </c>
      <c r="D41" s="3" t="s">
        <v>115</v>
      </c>
      <c r="E41" s="3" t="s">
        <v>48</v>
      </c>
      <c r="F41" s="3">
        <v>2</v>
      </c>
      <c r="G41" s="3" t="s">
        <v>49</v>
      </c>
      <c r="H41" s="3">
        <v>22</v>
      </c>
    </row>
    <row r="42" spans="1:8">
      <c r="A42" s="5">
        <v>45712</v>
      </c>
      <c r="B42" s="21">
        <v>315600895002</v>
      </c>
      <c r="C42" s="3" t="s">
        <v>116</v>
      </c>
      <c r="D42" s="3" t="s">
        <v>117</v>
      </c>
      <c r="E42" s="3" t="s">
        <v>10</v>
      </c>
      <c r="F42" s="3">
        <v>21</v>
      </c>
      <c r="G42" s="3" t="s">
        <v>44</v>
      </c>
      <c r="H42" s="3">
        <v>23</v>
      </c>
    </row>
    <row r="43" spans="1:8">
      <c r="A43" s="5">
        <v>45712</v>
      </c>
      <c r="B43" s="21">
        <v>315600895002</v>
      </c>
      <c r="C43" s="3" t="s">
        <v>116</v>
      </c>
      <c r="D43" s="3" t="s">
        <v>117</v>
      </c>
      <c r="E43" s="3" t="s">
        <v>48</v>
      </c>
      <c r="F43" s="3">
        <v>21</v>
      </c>
      <c r="G43" s="3" t="s">
        <v>49</v>
      </c>
      <c r="H43" s="3">
        <v>23</v>
      </c>
    </row>
    <row r="44" spans="1:8">
      <c r="A44" s="5">
        <v>45712</v>
      </c>
      <c r="B44" s="21">
        <v>990000000008</v>
      </c>
      <c r="C44" s="3" t="s">
        <v>120</v>
      </c>
      <c r="D44" s="3" t="s">
        <v>121</v>
      </c>
      <c r="E44" s="3" t="s">
        <v>10</v>
      </c>
      <c r="F44" s="3">
        <v>5</v>
      </c>
      <c r="G44" s="3" t="s">
        <v>44</v>
      </c>
      <c r="H44" s="3">
        <v>24</v>
      </c>
    </row>
    <row r="45" spans="1:8">
      <c r="A45" s="5">
        <v>45712</v>
      </c>
      <c r="B45" s="21">
        <v>990000000008</v>
      </c>
      <c r="C45" s="3" t="s">
        <v>120</v>
      </c>
      <c r="D45" s="3" t="s">
        <v>121</v>
      </c>
      <c r="E45" s="3" t="s">
        <v>48</v>
      </c>
      <c r="F45" s="3">
        <v>5</v>
      </c>
      <c r="G45" s="3" t="s">
        <v>49</v>
      </c>
      <c r="H45" s="3">
        <v>24</v>
      </c>
    </row>
    <row r="46" spans="1:8">
      <c r="A46" s="5">
        <v>45712</v>
      </c>
      <c r="B46" s="21">
        <v>990000000009</v>
      </c>
      <c r="C46" s="3" t="s">
        <v>123</v>
      </c>
      <c r="D46" s="3" t="s">
        <v>123</v>
      </c>
      <c r="E46" s="3" t="s">
        <v>10</v>
      </c>
      <c r="F46" s="3">
        <v>12</v>
      </c>
      <c r="G46" s="3" t="s">
        <v>44</v>
      </c>
      <c r="H46" s="3">
        <v>25</v>
      </c>
    </row>
    <row r="47" spans="1:8">
      <c r="A47" s="5">
        <v>45712</v>
      </c>
      <c r="B47" s="21">
        <v>990000000009</v>
      </c>
      <c r="C47" s="3" t="s">
        <v>123</v>
      </c>
      <c r="D47" s="3" t="s">
        <v>123</v>
      </c>
      <c r="E47" s="3" t="s">
        <v>48</v>
      </c>
      <c r="F47" s="3">
        <v>12</v>
      </c>
      <c r="G47" s="3" t="s">
        <v>49</v>
      </c>
      <c r="H47" s="3">
        <v>25</v>
      </c>
    </row>
    <row r="48" spans="1:8">
      <c r="A48" s="5">
        <v>45712</v>
      </c>
      <c r="B48" s="21">
        <v>315600735000</v>
      </c>
      <c r="C48" s="3" t="s">
        <v>124</v>
      </c>
      <c r="D48" s="3" t="s">
        <v>125</v>
      </c>
      <c r="E48" s="3" t="s">
        <v>10</v>
      </c>
      <c r="F48" s="3">
        <v>85</v>
      </c>
      <c r="G48" s="3" t="s">
        <v>44</v>
      </c>
      <c r="H48" s="3">
        <v>26</v>
      </c>
    </row>
    <row r="49" spans="1:8">
      <c r="A49" s="5">
        <v>45712</v>
      </c>
      <c r="B49" s="21">
        <v>315600735000</v>
      </c>
      <c r="C49" s="3" t="s">
        <v>124</v>
      </c>
      <c r="D49" s="3" t="s">
        <v>125</v>
      </c>
      <c r="E49" s="3" t="s">
        <v>48</v>
      </c>
      <c r="F49" s="3">
        <v>85</v>
      </c>
      <c r="G49" s="3" t="s">
        <v>49</v>
      </c>
      <c r="H49" s="3">
        <v>26</v>
      </c>
    </row>
    <row r="50" spans="1:8">
      <c r="A50" s="5">
        <v>45712</v>
      </c>
      <c r="B50" s="21">
        <v>990000000010</v>
      </c>
      <c r="C50" s="3" t="s">
        <v>128</v>
      </c>
      <c r="D50" s="3" t="s">
        <v>128</v>
      </c>
      <c r="E50" s="3" t="s">
        <v>10</v>
      </c>
      <c r="F50" s="3">
        <v>14</v>
      </c>
      <c r="G50" s="3" t="s">
        <v>44</v>
      </c>
      <c r="H50" s="3">
        <v>27</v>
      </c>
    </row>
    <row r="51" spans="1:8">
      <c r="A51" s="5">
        <v>45712</v>
      </c>
      <c r="B51" s="21">
        <v>990000000010</v>
      </c>
      <c r="C51" s="3" t="s">
        <v>128</v>
      </c>
      <c r="D51" s="3" t="s">
        <v>128</v>
      </c>
      <c r="E51" s="3" t="s">
        <v>48</v>
      </c>
      <c r="F51" s="3">
        <v>14</v>
      </c>
      <c r="G51" s="3" t="s">
        <v>49</v>
      </c>
      <c r="H51" s="3">
        <v>27</v>
      </c>
    </row>
    <row r="52" spans="1:8">
      <c r="A52" s="5">
        <v>45713</v>
      </c>
      <c r="B52" s="21">
        <v>315600794000</v>
      </c>
      <c r="C52" s="3" t="s">
        <v>134</v>
      </c>
      <c r="D52" s="3" t="s">
        <v>135</v>
      </c>
      <c r="E52" s="3" t="s">
        <v>10</v>
      </c>
      <c r="F52" s="3">
        <v>29</v>
      </c>
      <c r="G52" s="3" t="s">
        <v>44</v>
      </c>
      <c r="H52" s="3">
        <v>28</v>
      </c>
    </row>
    <row r="53" spans="1:8">
      <c r="A53" s="5">
        <v>45714</v>
      </c>
      <c r="B53" s="21">
        <v>315600794000</v>
      </c>
      <c r="C53" s="3" t="s">
        <v>134</v>
      </c>
      <c r="D53" s="3" t="s">
        <v>135</v>
      </c>
      <c r="E53" s="3" t="s">
        <v>48</v>
      </c>
      <c r="F53" s="3">
        <v>29</v>
      </c>
      <c r="G53" s="3" t="s">
        <v>49</v>
      </c>
      <c r="H53" s="3">
        <v>28</v>
      </c>
    </row>
    <row r="54" spans="1:8">
      <c r="A54" s="5">
        <v>45714</v>
      </c>
      <c r="B54" s="21">
        <v>319600038005</v>
      </c>
      <c r="C54" s="3" t="s">
        <v>136</v>
      </c>
      <c r="D54" s="3" t="s">
        <v>137</v>
      </c>
      <c r="E54" s="3" t="s">
        <v>10</v>
      </c>
      <c r="F54" s="3">
        <v>12</v>
      </c>
      <c r="G54" s="3" t="s">
        <v>44</v>
      </c>
      <c r="H54" s="3">
        <v>29</v>
      </c>
    </row>
    <row r="55" spans="1:8">
      <c r="A55" s="5">
        <v>45714</v>
      </c>
      <c r="B55" s="21">
        <v>319600038005</v>
      </c>
      <c r="C55" s="3" t="s">
        <v>136</v>
      </c>
      <c r="D55" s="3" t="s">
        <v>137</v>
      </c>
      <c r="E55" s="3" t="s">
        <v>48</v>
      </c>
      <c r="F55" s="3">
        <v>12</v>
      </c>
      <c r="G55" s="3" t="s">
        <v>49</v>
      </c>
      <c r="H55" s="3">
        <v>29</v>
      </c>
    </row>
    <row r="56" spans="1:8">
      <c r="A56" s="5">
        <v>45714</v>
      </c>
      <c r="B56" s="21">
        <v>315600771000</v>
      </c>
      <c r="C56" s="3" t="s">
        <v>91</v>
      </c>
      <c r="D56" s="3" t="s">
        <v>92</v>
      </c>
      <c r="E56" s="3" t="s">
        <v>10</v>
      </c>
      <c r="F56" s="3">
        <v>4</v>
      </c>
      <c r="G56" s="3" t="s">
        <v>44</v>
      </c>
      <c r="H56" s="3">
        <v>16</v>
      </c>
    </row>
    <row r="57" spans="1:8">
      <c r="A57" s="5">
        <v>45714</v>
      </c>
      <c r="B57" s="21">
        <v>315600771000</v>
      </c>
      <c r="C57" s="3" t="s">
        <v>91</v>
      </c>
      <c r="D57" s="3" t="s">
        <v>92</v>
      </c>
      <c r="E57" s="3" t="s">
        <v>48</v>
      </c>
      <c r="F57" s="3">
        <v>4</v>
      </c>
      <c r="G57" s="3" t="s">
        <v>49</v>
      </c>
      <c r="H57" s="3">
        <v>16</v>
      </c>
    </row>
    <row r="58" spans="1:8">
      <c r="A58" s="5">
        <v>45714</v>
      </c>
      <c r="B58" s="21">
        <v>319000056004</v>
      </c>
      <c r="C58" s="3" t="s">
        <v>139</v>
      </c>
      <c r="D58" s="3" t="s">
        <v>140</v>
      </c>
      <c r="E58" s="3" t="s">
        <v>10</v>
      </c>
      <c r="F58" s="3">
        <v>29</v>
      </c>
      <c r="G58" s="3" t="s">
        <v>44</v>
      </c>
      <c r="H58" s="3">
        <v>30</v>
      </c>
    </row>
    <row r="59" spans="1:8">
      <c r="A59" s="5">
        <v>45715</v>
      </c>
      <c r="B59" s="21">
        <v>319000056004</v>
      </c>
      <c r="C59" s="3" t="s">
        <v>139</v>
      </c>
      <c r="D59" s="3" t="s">
        <v>140</v>
      </c>
      <c r="E59" s="3" t="s">
        <v>48</v>
      </c>
      <c r="F59" s="3">
        <v>29</v>
      </c>
      <c r="G59" s="3" t="s">
        <v>49</v>
      </c>
      <c r="H59" s="3">
        <v>30</v>
      </c>
    </row>
    <row r="60" spans="1:8">
      <c r="A60" s="5">
        <v>45715</v>
      </c>
      <c r="B60" s="21">
        <v>315600415000</v>
      </c>
      <c r="C60" s="3" t="s">
        <v>142</v>
      </c>
      <c r="D60" s="3" t="s">
        <v>143</v>
      </c>
      <c r="E60" s="3" t="s">
        <v>10</v>
      </c>
      <c r="F60" s="3">
        <v>29</v>
      </c>
      <c r="G60" s="3" t="s">
        <v>44</v>
      </c>
      <c r="H60" s="3">
        <v>31</v>
      </c>
    </row>
    <row r="61" spans="1:8">
      <c r="A61" s="5">
        <v>45715</v>
      </c>
      <c r="B61" s="21">
        <v>315600415000</v>
      </c>
      <c r="C61" s="3" t="s">
        <v>142</v>
      </c>
      <c r="D61" s="3" t="s">
        <v>143</v>
      </c>
      <c r="E61" s="3" t="s">
        <v>48</v>
      </c>
      <c r="F61" s="3">
        <v>29</v>
      </c>
      <c r="G61" s="3" t="s">
        <v>49</v>
      </c>
      <c r="H61" s="3">
        <v>31</v>
      </c>
    </row>
    <row r="62" spans="1:8">
      <c r="A62" s="5">
        <v>45715</v>
      </c>
      <c r="B62" s="21">
        <v>319100042008</v>
      </c>
      <c r="C62" s="3" t="s">
        <v>176</v>
      </c>
      <c r="D62" s="3" t="s">
        <v>177</v>
      </c>
      <c r="E62" s="3" t="s">
        <v>10</v>
      </c>
      <c r="F62" s="3">
        <v>14</v>
      </c>
      <c r="G62" s="3" t="s">
        <v>44</v>
      </c>
      <c r="H62" s="3">
        <v>6</v>
      </c>
    </row>
    <row r="63" spans="1:8">
      <c r="A63" s="5">
        <v>45715</v>
      </c>
      <c r="B63" s="21">
        <v>319100042008</v>
      </c>
      <c r="C63" s="3" t="s">
        <v>33</v>
      </c>
      <c r="D63" s="3" t="s">
        <v>56</v>
      </c>
      <c r="E63" s="3" t="s">
        <v>48</v>
      </c>
      <c r="F63" s="3">
        <v>14</v>
      </c>
      <c r="G63" s="3" t="s">
        <v>49</v>
      </c>
      <c r="H63" s="3">
        <v>6</v>
      </c>
    </row>
    <row r="64" spans="1:8">
      <c r="A64" s="5">
        <v>45715</v>
      </c>
      <c r="B64" s="21">
        <v>319100057001</v>
      </c>
      <c r="C64" s="3" t="s">
        <v>208</v>
      </c>
      <c r="D64" s="3" t="s">
        <v>146</v>
      </c>
      <c r="E64" s="3" t="s">
        <v>10</v>
      </c>
      <c r="F64" s="3">
        <v>57</v>
      </c>
      <c r="G64" s="3" t="s">
        <v>44</v>
      </c>
      <c r="H64" s="3">
        <v>32</v>
      </c>
    </row>
    <row r="65" spans="1:8">
      <c r="A65" s="5">
        <v>45715</v>
      </c>
      <c r="B65" s="21">
        <v>319100057001</v>
      </c>
      <c r="C65" s="3" t="s">
        <v>145</v>
      </c>
      <c r="D65" s="3" t="s">
        <v>146</v>
      </c>
      <c r="E65" s="3" t="s">
        <v>48</v>
      </c>
      <c r="F65" s="3">
        <v>57</v>
      </c>
      <c r="G65" s="3" t="s">
        <v>49</v>
      </c>
      <c r="H65" s="3">
        <v>32</v>
      </c>
    </row>
    <row r="66" spans="1:8">
      <c r="A66" s="5">
        <v>45715</v>
      </c>
      <c r="B66" s="21">
        <v>315601033002</v>
      </c>
      <c r="C66" s="3" t="s">
        <v>148</v>
      </c>
      <c r="D66" s="3" t="s">
        <v>149</v>
      </c>
      <c r="E66" s="3" t="s">
        <v>10</v>
      </c>
      <c r="F66" s="3">
        <v>34</v>
      </c>
      <c r="G66" s="3" t="s">
        <v>44</v>
      </c>
      <c r="H66" s="3">
        <v>33</v>
      </c>
    </row>
    <row r="67" spans="1:8">
      <c r="A67" s="5">
        <v>45715</v>
      </c>
      <c r="B67" s="21">
        <v>315601033002</v>
      </c>
      <c r="C67" s="3" t="s">
        <v>148</v>
      </c>
      <c r="D67" s="3" t="s">
        <v>149</v>
      </c>
      <c r="E67" s="3" t="s">
        <v>48</v>
      </c>
      <c r="F67" s="3">
        <v>34</v>
      </c>
      <c r="G67" s="3" t="s">
        <v>49</v>
      </c>
      <c r="H67" s="3">
        <v>33</v>
      </c>
    </row>
    <row r="68" spans="1:8">
      <c r="A68" s="5">
        <v>45715</v>
      </c>
      <c r="B68" s="21">
        <v>315601052000</v>
      </c>
      <c r="C68" s="3" t="s">
        <v>151</v>
      </c>
      <c r="D68" s="3" t="s">
        <v>152</v>
      </c>
      <c r="E68" s="3" t="s">
        <v>10</v>
      </c>
      <c r="F68" s="3">
        <v>12</v>
      </c>
      <c r="G68" s="3" t="s">
        <v>44</v>
      </c>
      <c r="H68" s="3">
        <v>34</v>
      </c>
    </row>
    <row r="69" spans="1:8">
      <c r="A69" s="5">
        <v>45715</v>
      </c>
      <c r="B69" s="21">
        <v>315601052000</v>
      </c>
      <c r="C69" s="3" t="s">
        <v>151</v>
      </c>
      <c r="D69" s="3" t="s">
        <v>152</v>
      </c>
      <c r="E69" s="3" t="s">
        <v>48</v>
      </c>
      <c r="F69" s="3">
        <v>12</v>
      </c>
      <c r="G69" s="3" t="s">
        <v>49</v>
      </c>
      <c r="H69" s="3">
        <v>34</v>
      </c>
    </row>
    <row r="70" spans="1:8">
      <c r="A70" s="5">
        <v>45715</v>
      </c>
      <c r="B70" s="21">
        <v>315601040000</v>
      </c>
      <c r="C70" s="3" t="s">
        <v>154</v>
      </c>
      <c r="D70" s="3" t="s">
        <v>155</v>
      </c>
      <c r="E70" s="3" t="s">
        <v>10</v>
      </c>
      <c r="F70" s="3">
        <v>107</v>
      </c>
      <c r="G70" s="3" t="s">
        <v>44</v>
      </c>
      <c r="H70" s="3">
        <v>35</v>
      </c>
    </row>
    <row r="71" spans="1:8">
      <c r="A71" s="5">
        <v>45715</v>
      </c>
      <c r="B71" s="21">
        <v>315601040000</v>
      </c>
      <c r="C71" s="3" t="s">
        <v>154</v>
      </c>
      <c r="D71" s="3" t="s">
        <v>155</v>
      </c>
      <c r="E71" s="3" t="s">
        <v>48</v>
      </c>
      <c r="F71" s="3">
        <v>107</v>
      </c>
      <c r="G71" s="3" t="s">
        <v>49</v>
      </c>
      <c r="H71" s="3">
        <v>35</v>
      </c>
    </row>
    <row r="72" spans="1:8">
      <c r="A72" s="5">
        <v>45715</v>
      </c>
      <c r="B72" s="21">
        <v>315600660000</v>
      </c>
      <c r="C72" s="3" t="s">
        <v>34</v>
      </c>
      <c r="D72" s="3" t="s">
        <v>157</v>
      </c>
      <c r="E72" s="3" t="s">
        <v>10</v>
      </c>
      <c r="F72" s="3">
        <v>24</v>
      </c>
      <c r="G72" s="3" t="s">
        <v>44</v>
      </c>
      <c r="H72" s="3">
        <v>9</v>
      </c>
    </row>
    <row r="73" spans="1:8">
      <c r="A73" s="5">
        <v>45715</v>
      </c>
      <c r="B73" s="21">
        <v>315600660000</v>
      </c>
      <c r="C73" s="3" t="s">
        <v>34</v>
      </c>
      <c r="D73" s="3" t="s">
        <v>157</v>
      </c>
      <c r="E73" s="3" t="s">
        <v>48</v>
      </c>
      <c r="F73" s="3">
        <v>24</v>
      </c>
      <c r="G73" s="3" t="s">
        <v>49</v>
      </c>
      <c r="H73" s="3">
        <v>9</v>
      </c>
    </row>
    <row r="74" spans="1:8">
      <c r="A74" s="5">
        <v>45715</v>
      </c>
      <c r="B74" s="21">
        <v>315601026000</v>
      </c>
      <c r="C74" s="3" t="s">
        <v>158</v>
      </c>
      <c r="D74" s="3" t="s">
        <v>159</v>
      </c>
      <c r="E74" s="3" t="s">
        <v>10</v>
      </c>
      <c r="F74" s="3">
        <v>21</v>
      </c>
      <c r="G74" s="3" t="s">
        <v>44</v>
      </c>
      <c r="H74" s="3">
        <v>10</v>
      </c>
    </row>
    <row r="75" spans="1:8">
      <c r="A75" s="5">
        <v>45715</v>
      </c>
      <c r="B75" s="21">
        <v>315601026000</v>
      </c>
      <c r="C75" s="3" t="s">
        <v>158</v>
      </c>
      <c r="D75" s="3" t="s">
        <v>159</v>
      </c>
      <c r="E75" s="3" t="s">
        <v>48</v>
      </c>
      <c r="F75" s="3">
        <v>21</v>
      </c>
      <c r="G75" s="3" t="s">
        <v>49</v>
      </c>
      <c r="H75" s="3">
        <v>10</v>
      </c>
    </row>
    <row r="76" spans="1:8">
      <c r="A76" s="5">
        <v>45715</v>
      </c>
      <c r="B76" s="21">
        <v>315600742002</v>
      </c>
      <c r="C76" s="3" t="s">
        <v>160</v>
      </c>
      <c r="D76" s="3" t="s">
        <v>161</v>
      </c>
      <c r="E76" s="3" t="s">
        <v>10</v>
      </c>
      <c r="F76" s="3">
        <v>144</v>
      </c>
      <c r="G76" s="3" t="s">
        <v>44</v>
      </c>
      <c r="H76" s="3">
        <v>36</v>
      </c>
    </row>
    <row r="77" spans="1:8">
      <c r="A77" s="5">
        <v>45715</v>
      </c>
      <c r="B77" s="21">
        <v>315600742002</v>
      </c>
      <c r="C77" s="3" t="s">
        <v>160</v>
      </c>
      <c r="D77" s="3" t="s">
        <v>161</v>
      </c>
      <c r="E77" s="3" t="s">
        <v>48</v>
      </c>
      <c r="F77" s="3">
        <v>144</v>
      </c>
      <c r="G77" s="3" t="s">
        <v>49</v>
      </c>
      <c r="H77" s="3">
        <v>36</v>
      </c>
    </row>
    <row r="78" spans="1:8">
      <c r="A78" s="5">
        <v>45715</v>
      </c>
      <c r="B78" s="21">
        <v>315600732001</v>
      </c>
      <c r="C78" s="3" t="s">
        <v>163</v>
      </c>
      <c r="D78" s="3" t="s">
        <v>164</v>
      </c>
      <c r="E78" s="3" t="s">
        <v>10</v>
      </c>
      <c r="F78" s="3">
        <v>34</v>
      </c>
      <c r="G78" s="3" t="s">
        <v>44</v>
      </c>
      <c r="H78" s="3">
        <v>7</v>
      </c>
    </row>
    <row r="79" spans="1:8">
      <c r="A79" s="5">
        <v>45715</v>
      </c>
      <c r="B79" s="21">
        <v>315600732001</v>
      </c>
      <c r="C79" s="3" t="s">
        <v>163</v>
      </c>
      <c r="D79" s="3" t="s">
        <v>164</v>
      </c>
      <c r="E79" s="3" t="s">
        <v>48</v>
      </c>
      <c r="F79" s="3">
        <v>34</v>
      </c>
      <c r="G79" s="3" t="s">
        <v>49</v>
      </c>
      <c r="H79" s="3">
        <v>7</v>
      </c>
    </row>
    <row r="80" spans="1:8">
      <c r="A80" s="5">
        <v>45715</v>
      </c>
      <c r="B80" s="21">
        <v>319100050000</v>
      </c>
      <c r="C80" s="3" t="s">
        <v>165</v>
      </c>
      <c r="D80" s="3" t="s">
        <v>166</v>
      </c>
      <c r="E80" s="3" t="s">
        <v>10</v>
      </c>
      <c r="F80" s="3">
        <v>20</v>
      </c>
      <c r="G80" s="3" t="s">
        <v>44</v>
      </c>
      <c r="H80" s="3">
        <v>20</v>
      </c>
    </row>
    <row r="81" spans="1:8">
      <c r="A81" s="5">
        <v>45715</v>
      </c>
      <c r="B81" s="21">
        <v>319100050000</v>
      </c>
      <c r="C81" s="3" t="s">
        <v>165</v>
      </c>
      <c r="D81" s="3" t="s">
        <v>166</v>
      </c>
      <c r="E81" s="3" t="s">
        <v>48</v>
      </c>
      <c r="F81" s="3">
        <v>20</v>
      </c>
      <c r="G81" s="3" t="s">
        <v>49</v>
      </c>
      <c r="H81" s="3">
        <v>20</v>
      </c>
    </row>
    <row r="82" spans="1:8">
      <c r="A82" s="5">
        <v>45715</v>
      </c>
      <c r="B82" s="21">
        <v>315600635001</v>
      </c>
      <c r="C82" s="3" t="s">
        <v>167</v>
      </c>
      <c r="D82" s="3" t="s">
        <v>168</v>
      </c>
      <c r="E82" s="3" t="s">
        <v>10</v>
      </c>
      <c r="F82" s="3">
        <v>219</v>
      </c>
      <c r="G82" s="3" t="s">
        <v>44</v>
      </c>
      <c r="H82" s="3">
        <v>37</v>
      </c>
    </row>
    <row r="83" spans="1:8">
      <c r="A83" s="5">
        <v>45715</v>
      </c>
      <c r="B83" s="21">
        <v>315600635001</v>
      </c>
      <c r="C83" s="3" t="s">
        <v>167</v>
      </c>
      <c r="D83" s="3" t="s">
        <v>168</v>
      </c>
      <c r="E83" s="3" t="s">
        <v>48</v>
      </c>
      <c r="F83" s="3">
        <v>219</v>
      </c>
      <c r="G83" s="3" t="s">
        <v>49</v>
      </c>
      <c r="H83" s="3">
        <v>37</v>
      </c>
    </row>
    <row r="84" spans="1:8">
      <c r="A84" s="5">
        <v>45715</v>
      </c>
      <c r="B84" s="21">
        <v>315600637000</v>
      </c>
      <c r="C84" s="3" t="s">
        <v>170</v>
      </c>
      <c r="D84" s="3" t="s">
        <v>171</v>
      </c>
      <c r="E84" s="3" t="s">
        <v>10</v>
      </c>
      <c r="F84" s="3">
        <v>32</v>
      </c>
      <c r="G84" s="3" t="s">
        <v>44</v>
      </c>
      <c r="H84" s="3">
        <v>38</v>
      </c>
    </row>
    <row r="85" spans="1:8">
      <c r="A85" s="5">
        <v>45715</v>
      </c>
      <c r="B85" s="21">
        <v>315600637000</v>
      </c>
      <c r="C85" s="3" t="s">
        <v>170</v>
      </c>
      <c r="D85" s="3" t="s">
        <v>171</v>
      </c>
      <c r="E85" s="3" t="s">
        <v>48</v>
      </c>
      <c r="F85" s="3">
        <v>32</v>
      </c>
      <c r="G85" s="3" t="s">
        <v>49</v>
      </c>
      <c r="H85" s="3">
        <v>38</v>
      </c>
    </row>
    <row r="86" spans="1:8">
      <c r="A86" s="5">
        <v>45722</v>
      </c>
      <c r="B86" s="21">
        <v>990000000001</v>
      </c>
      <c r="C86" s="3" t="s">
        <v>174</v>
      </c>
      <c r="D86" s="3" t="s">
        <v>296</v>
      </c>
      <c r="E86" s="3" t="s">
        <v>10</v>
      </c>
      <c r="F86" s="3">
        <v>100</v>
      </c>
      <c r="G86" s="3" t="s">
        <v>44</v>
      </c>
      <c r="H86" s="3">
        <v>39</v>
      </c>
    </row>
    <row r="87" spans="1:8">
      <c r="A87" s="5">
        <v>45722</v>
      </c>
      <c r="B87" s="21">
        <v>990000000001</v>
      </c>
      <c r="C87" s="3" t="s">
        <v>174</v>
      </c>
      <c r="D87" s="3" t="s">
        <v>296</v>
      </c>
      <c r="E87" s="3" t="s">
        <v>48</v>
      </c>
      <c r="F87" s="3">
        <v>100</v>
      </c>
      <c r="G87" s="3" t="s">
        <v>49</v>
      </c>
      <c r="H87" s="3">
        <v>39</v>
      </c>
    </row>
    <row r="88" spans="1:8">
      <c r="A88" s="5">
        <v>45722</v>
      </c>
      <c r="B88" s="21">
        <v>990000000002</v>
      </c>
      <c r="C88" s="3" t="s">
        <v>178</v>
      </c>
      <c r="D88" s="3" t="s">
        <v>185</v>
      </c>
      <c r="E88" s="3" t="s">
        <v>10</v>
      </c>
      <c r="F88" s="3">
        <v>10</v>
      </c>
      <c r="G88" s="3" t="s">
        <v>44</v>
      </c>
      <c r="H88" s="3">
        <v>40</v>
      </c>
    </row>
    <row r="89" spans="1:8">
      <c r="A89" s="5">
        <v>45722</v>
      </c>
      <c r="B89" s="21">
        <v>990000000002</v>
      </c>
      <c r="C89" s="3" t="s">
        <v>178</v>
      </c>
      <c r="D89" s="3" t="s">
        <v>185</v>
      </c>
      <c r="E89" s="3" t="s">
        <v>48</v>
      </c>
      <c r="F89" s="3">
        <v>10</v>
      </c>
      <c r="G89" s="3" t="s">
        <v>49</v>
      </c>
      <c r="H89" s="3">
        <v>40</v>
      </c>
    </row>
    <row r="90" spans="1:8">
      <c r="A90" s="5">
        <v>45722</v>
      </c>
      <c r="B90" s="21">
        <v>315600998000</v>
      </c>
      <c r="C90" s="3" t="s">
        <v>154</v>
      </c>
      <c r="D90" s="3" t="s">
        <v>179</v>
      </c>
      <c r="E90" s="3" t="s">
        <v>10</v>
      </c>
      <c r="F90" s="3">
        <v>61</v>
      </c>
      <c r="G90" s="3" t="s">
        <v>44</v>
      </c>
      <c r="H90" s="3">
        <v>41</v>
      </c>
    </row>
    <row r="91" spans="1:8">
      <c r="A91" s="5">
        <v>45722</v>
      </c>
      <c r="B91" s="21">
        <v>315600998000</v>
      </c>
      <c r="C91" s="3" t="s">
        <v>154</v>
      </c>
      <c r="D91" s="3" t="s">
        <v>179</v>
      </c>
      <c r="E91" s="3" t="s">
        <v>48</v>
      </c>
      <c r="F91" s="3">
        <v>61</v>
      </c>
      <c r="G91" s="3" t="s">
        <v>49</v>
      </c>
      <c r="H91" s="3">
        <v>41</v>
      </c>
    </row>
    <row r="92" spans="1:8">
      <c r="A92" s="5">
        <v>45722</v>
      </c>
      <c r="B92" s="21">
        <v>315600218000</v>
      </c>
      <c r="C92" s="3" t="s">
        <v>181</v>
      </c>
      <c r="D92" s="3" t="s">
        <v>182</v>
      </c>
      <c r="E92" s="3" t="s">
        <v>10</v>
      </c>
      <c r="F92" s="3">
        <v>21</v>
      </c>
      <c r="G92" s="3" t="s">
        <v>44</v>
      </c>
      <c r="H92" s="3">
        <v>42</v>
      </c>
    </row>
    <row r="93" spans="1:8">
      <c r="A93" s="5">
        <v>45722</v>
      </c>
      <c r="B93" s="21">
        <v>315600218000</v>
      </c>
      <c r="C93" s="3" t="s">
        <v>181</v>
      </c>
      <c r="D93" s="3" t="s">
        <v>182</v>
      </c>
      <c r="E93" s="3" t="s">
        <v>48</v>
      </c>
      <c r="F93" s="3">
        <v>21</v>
      </c>
      <c r="G93" s="3" t="s">
        <v>49</v>
      </c>
      <c r="H93" s="3">
        <v>42</v>
      </c>
    </row>
    <row r="94" spans="1:8">
      <c r="A94" s="5">
        <v>45722</v>
      </c>
      <c r="B94" s="21">
        <v>315601016001</v>
      </c>
      <c r="C94" s="3" t="s">
        <v>187</v>
      </c>
      <c r="D94" s="3" t="s">
        <v>188</v>
      </c>
      <c r="E94" s="3" t="s">
        <v>10</v>
      </c>
      <c r="F94" s="3">
        <v>50</v>
      </c>
      <c r="G94" s="3" t="s">
        <v>44</v>
      </c>
      <c r="H94" s="3">
        <v>43</v>
      </c>
    </row>
    <row r="95" spans="1:8">
      <c r="A95" s="5">
        <v>45722</v>
      </c>
      <c r="B95" s="21">
        <v>315601016001</v>
      </c>
      <c r="C95" s="3" t="s">
        <v>186</v>
      </c>
      <c r="D95" s="3" t="s">
        <v>188</v>
      </c>
      <c r="E95" s="3" t="s">
        <v>48</v>
      </c>
      <c r="F95" s="3">
        <v>50</v>
      </c>
      <c r="G95" s="3" t="s">
        <v>49</v>
      </c>
      <c r="H95" s="3">
        <v>43</v>
      </c>
    </row>
    <row r="96" spans="1:8">
      <c r="A96" s="5">
        <v>45722</v>
      </c>
      <c r="B96" s="21">
        <v>990000000003</v>
      </c>
      <c r="C96" s="3" t="s">
        <v>191</v>
      </c>
      <c r="D96" s="3" t="s">
        <v>188</v>
      </c>
      <c r="E96" s="3" t="s">
        <v>10</v>
      </c>
      <c r="F96" s="3">
        <v>12</v>
      </c>
      <c r="G96" s="3" t="s">
        <v>44</v>
      </c>
      <c r="H96" s="3">
        <v>44</v>
      </c>
    </row>
    <row r="97" spans="1:8">
      <c r="A97" s="5">
        <v>45722</v>
      </c>
      <c r="B97" s="21">
        <v>990000000003</v>
      </c>
      <c r="C97" s="3" t="s">
        <v>191</v>
      </c>
      <c r="D97" s="3" t="s">
        <v>188</v>
      </c>
      <c r="E97" s="3" t="s">
        <v>48</v>
      </c>
      <c r="F97" s="3">
        <v>12</v>
      </c>
      <c r="G97" s="3" t="s">
        <v>49</v>
      </c>
      <c r="H97" s="3">
        <v>44</v>
      </c>
    </row>
    <row r="98" spans="1:8">
      <c r="A98" s="5">
        <v>45722</v>
      </c>
      <c r="B98" s="21">
        <v>315600821003</v>
      </c>
      <c r="C98" s="3" t="s">
        <v>32</v>
      </c>
      <c r="D98" s="3" t="s">
        <v>58</v>
      </c>
      <c r="E98" s="3" t="s">
        <v>10</v>
      </c>
      <c r="F98" s="3">
        <v>34</v>
      </c>
      <c r="G98" s="3" t="s">
        <v>44</v>
      </c>
      <c r="H98" s="3">
        <v>8</v>
      </c>
    </row>
    <row r="99" spans="1:8">
      <c r="A99" s="5">
        <v>45722</v>
      </c>
      <c r="B99" s="21">
        <v>315600821003</v>
      </c>
      <c r="C99" s="3" t="s">
        <v>32</v>
      </c>
      <c r="D99" s="3" t="s">
        <v>58</v>
      </c>
      <c r="E99" s="3" t="s">
        <v>48</v>
      </c>
      <c r="F99" s="3">
        <v>34</v>
      </c>
      <c r="G99" s="3" t="s">
        <v>49</v>
      </c>
      <c r="H99" s="3">
        <v>8</v>
      </c>
    </row>
    <row r="100" spans="1:8">
      <c r="A100" s="5">
        <v>45722</v>
      </c>
      <c r="B100" s="21">
        <v>319600045006</v>
      </c>
      <c r="C100" s="3" t="s">
        <v>192</v>
      </c>
      <c r="D100" s="3" t="s">
        <v>193</v>
      </c>
      <c r="E100" s="3" t="s">
        <v>10</v>
      </c>
      <c r="F100" s="3">
        <v>53</v>
      </c>
      <c r="G100" s="3" t="s">
        <v>44</v>
      </c>
      <c r="H100" s="3">
        <v>45</v>
      </c>
    </row>
    <row r="101" spans="1:8">
      <c r="A101" s="5">
        <v>45722</v>
      </c>
      <c r="B101" s="21">
        <v>319600045006</v>
      </c>
      <c r="C101" s="3" t="s">
        <v>192</v>
      </c>
      <c r="D101" s="3" t="s">
        <v>193</v>
      </c>
      <c r="E101" s="3" t="s">
        <v>48</v>
      </c>
      <c r="F101" s="3">
        <v>53</v>
      </c>
      <c r="G101" s="3" t="s">
        <v>49</v>
      </c>
      <c r="H101" s="3">
        <v>45</v>
      </c>
    </row>
    <row r="102" spans="1:8">
      <c r="A102" s="5">
        <v>45722</v>
      </c>
      <c r="B102" s="21">
        <v>990000000005</v>
      </c>
      <c r="C102" s="3" t="s">
        <v>199</v>
      </c>
      <c r="D102" s="3" t="s">
        <v>200</v>
      </c>
      <c r="E102" s="3" t="s">
        <v>10</v>
      </c>
      <c r="F102" s="3">
        <v>5</v>
      </c>
      <c r="G102" s="3" t="s">
        <v>44</v>
      </c>
      <c r="H102" s="3">
        <v>46</v>
      </c>
    </row>
    <row r="103" spans="1:8">
      <c r="A103" s="5">
        <v>45722</v>
      </c>
      <c r="B103" s="21">
        <v>990000000005</v>
      </c>
      <c r="C103" s="3" t="s">
        <v>199</v>
      </c>
      <c r="D103" s="3" t="s">
        <v>200</v>
      </c>
      <c r="E103" s="3" t="s">
        <v>48</v>
      </c>
      <c r="F103" s="3">
        <v>5</v>
      </c>
      <c r="G103" s="3" t="s">
        <v>49</v>
      </c>
      <c r="H103" s="3">
        <v>46</v>
      </c>
    </row>
    <row r="104" spans="1:8">
      <c r="A104" s="5">
        <v>45722</v>
      </c>
      <c r="B104" s="21">
        <v>315600715000</v>
      </c>
      <c r="C104" s="3" t="s">
        <v>201</v>
      </c>
      <c r="D104" s="3" t="s">
        <v>202</v>
      </c>
      <c r="E104" s="3" t="s">
        <v>10</v>
      </c>
      <c r="F104" s="3">
        <v>126</v>
      </c>
      <c r="G104" s="3" t="s">
        <v>44</v>
      </c>
      <c r="H104" s="3">
        <v>47</v>
      </c>
    </row>
    <row r="105" spans="1:8">
      <c r="A105" s="5">
        <v>45723</v>
      </c>
      <c r="B105" s="21">
        <v>315600715000</v>
      </c>
      <c r="C105" s="3" t="s">
        <v>201</v>
      </c>
      <c r="D105" s="3" t="s">
        <v>202</v>
      </c>
      <c r="E105" s="3" t="s">
        <v>48</v>
      </c>
      <c r="F105" s="3">
        <v>126</v>
      </c>
      <c r="G105" s="3" t="s">
        <v>49</v>
      </c>
      <c r="H105" s="3">
        <v>47</v>
      </c>
    </row>
    <row r="106" spans="1:8">
      <c r="A106" s="5">
        <v>45723</v>
      </c>
      <c r="B106" s="21">
        <v>319000066000</v>
      </c>
      <c r="C106" s="3" t="s">
        <v>204</v>
      </c>
      <c r="D106" s="3" t="s">
        <v>205</v>
      </c>
      <c r="E106" s="3" t="s">
        <v>10</v>
      </c>
      <c r="F106" s="3">
        <v>9</v>
      </c>
      <c r="G106" s="3" t="s">
        <v>44</v>
      </c>
      <c r="H106" s="3">
        <v>48</v>
      </c>
    </row>
    <row r="107" spans="1:8">
      <c r="A107" s="5">
        <v>45723</v>
      </c>
      <c r="B107" s="21">
        <v>319000066000</v>
      </c>
      <c r="C107" s="3" t="s">
        <v>204</v>
      </c>
      <c r="D107" s="3" t="s">
        <v>205</v>
      </c>
      <c r="E107" s="3" t="s">
        <v>48</v>
      </c>
      <c r="F107" s="3">
        <v>9</v>
      </c>
      <c r="G107" s="3" t="s">
        <v>49</v>
      </c>
      <c r="H107" s="3">
        <v>48</v>
      </c>
    </row>
    <row r="108" spans="1:8">
      <c r="A108" s="5">
        <v>45723</v>
      </c>
      <c r="B108" s="21">
        <v>315600637000</v>
      </c>
      <c r="C108" s="3" t="s">
        <v>170</v>
      </c>
      <c r="D108" s="3" t="s">
        <v>171</v>
      </c>
      <c r="E108" s="3" t="s">
        <v>10</v>
      </c>
      <c r="F108" s="3">
        <v>72</v>
      </c>
      <c r="G108" s="3" t="s">
        <v>44</v>
      </c>
      <c r="H108" s="3">
        <v>38</v>
      </c>
    </row>
    <row r="109" spans="1:8">
      <c r="A109" s="5">
        <v>45723</v>
      </c>
      <c r="B109" s="21">
        <v>315600637000</v>
      </c>
      <c r="C109" s="3" t="s">
        <v>170</v>
      </c>
      <c r="D109" s="3" t="s">
        <v>171</v>
      </c>
      <c r="E109" s="3" t="s">
        <v>48</v>
      </c>
      <c r="F109" s="3">
        <v>72</v>
      </c>
      <c r="G109" s="3" t="s">
        <v>49</v>
      </c>
      <c r="H109" s="3">
        <v>38</v>
      </c>
    </row>
    <row r="110" spans="1:8">
      <c r="A110" s="5">
        <v>45723</v>
      </c>
      <c r="B110" s="21">
        <v>315601039000</v>
      </c>
      <c r="C110" s="3" t="s">
        <v>209</v>
      </c>
      <c r="D110" s="3" t="s">
        <v>210</v>
      </c>
      <c r="E110" s="3" t="s">
        <v>10</v>
      </c>
      <c r="F110" s="3">
        <v>103</v>
      </c>
      <c r="G110" s="3" t="s">
        <v>44</v>
      </c>
      <c r="H110" s="3">
        <v>49</v>
      </c>
    </row>
    <row r="111" spans="1:8">
      <c r="A111" s="5">
        <v>45723</v>
      </c>
      <c r="B111" s="21">
        <v>315601039000</v>
      </c>
      <c r="C111" s="3" t="s">
        <v>209</v>
      </c>
      <c r="D111" s="3" t="s">
        <v>210</v>
      </c>
      <c r="E111" s="3" t="s">
        <v>48</v>
      </c>
      <c r="F111" s="3">
        <v>103</v>
      </c>
      <c r="G111" s="3" t="s">
        <v>49</v>
      </c>
      <c r="H111" s="3">
        <v>49</v>
      </c>
    </row>
    <row r="112" spans="1:8">
      <c r="A112" s="5">
        <v>45723</v>
      </c>
      <c r="B112" s="21">
        <v>315600849000</v>
      </c>
      <c r="C112" s="3" t="s">
        <v>211</v>
      </c>
      <c r="D112" s="3" t="s">
        <v>212</v>
      </c>
      <c r="E112" s="3" t="s">
        <v>10</v>
      </c>
      <c r="F112" s="3">
        <v>71</v>
      </c>
      <c r="G112" s="3" t="s">
        <v>44</v>
      </c>
      <c r="H112" s="3">
        <v>50</v>
      </c>
    </row>
    <row r="113" spans="1:8">
      <c r="A113" s="5">
        <v>45723</v>
      </c>
      <c r="B113" s="21">
        <v>315600849000</v>
      </c>
      <c r="C113" s="3" t="s">
        <v>211</v>
      </c>
      <c r="D113" s="3" t="s">
        <v>212</v>
      </c>
      <c r="E113" s="3" t="s">
        <v>48</v>
      </c>
      <c r="F113" s="3">
        <v>71</v>
      </c>
      <c r="G113" s="3" t="s">
        <v>49</v>
      </c>
      <c r="H113" s="3">
        <v>50</v>
      </c>
    </row>
    <row r="114" spans="1:8">
      <c r="A114" s="5">
        <v>45723</v>
      </c>
      <c r="B114" s="21">
        <v>315600737000</v>
      </c>
      <c r="C114" s="3" t="s">
        <v>214</v>
      </c>
      <c r="D114" s="3" t="s">
        <v>215</v>
      </c>
      <c r="E114" s="3" t="s">
        <v>10</v>
      </c>
      <c r="F114" s="3">
        <v>43</v>
      </c>
      <c r="G114" s="3" t="s">
        <v>44</v>
      </c>
      <c r="H114" s="3">
        <v>51</v>
      </c>
    </row>
    <row r="115" spans="1:8">
      <c r="A115" s="5">
        <v>45723</v>
      </c>
      <c r="B115" s="21">
        <v>315600737000</v>
      </c>
      <c r="C115" s="3" t="s">
        <v>214</v>
      </c>
      <c r="D115" s="3" t="s">
        <v>215</v>
      </c>
      <c r="E115" s="3" t="s">
        <v>48</v>
      </c>
      <c r="F115" s="3">
        <v>43</v>
      </c>
      <c r="G115" s="3" t="s">
        <v>49</v>
      </c>
      <c r="H115" s="3">
        <v>51</v>
      </c>
    </row>
    <row r="116" spans="1:8">
      <c r="A116" s="5">
        <v>45723</v>
      </c>
      <c r="B116" s="21">
        <v>315600954000</v>
      </c>
      <c r="C116" s="3" t="s">
        <v>217</v>
      </c>
      <c r="D116" s="3" t="s">
        <v>218</v>
      </c>
      <c r="E116" s="3" t="s">
        <v>10</v>
      </c>
      <c r="F116" s="3">
        <v>1</v>
      </c>
      <c r="G116" s="3" t="s">
        <v>44</v>
      </c>
      <c r="H116" s="3">
        <v>52</v>
      </c>
    </row>
    <row r="117" spans="1:8">
      <c r="A117" s="5">
        <v>45723</v>
      </c>
      <c r="B117" s="21">
        <v>315600954000</v>
      </c>
      <c r="C117" s="3" t="s">
        <v>217</v>
      </c>
      <c r="D117" s="3" t="s">
        <v>218</v>
      </c>
      <c r="E117" s="3" t="s">
        <v>48</v>
      </c>
      <c r="F117" s="3">
        <v>1</v>
      </c>
      <c r="G117" s="3" t="s">
        <v>49</v>
      </c>
      <c r="H117" s="3">
        <v>52</v>
      </c>
    </row>
    <row r="118" spans="1:8">
      <c r="A118" s="5">
        <v>45723</v>
      </c>
      <c r="B118" s="21">
        <v>315600831001</v>
      </c>
      <c r="C118" s="3" t="s">
        <v>220</v>
      </c>
      <c r="D118" s="3" t="s">
        <v>221</v>
      </c>
      <c r="E118" s="3" t="s">
        <v>10</v>
      </c>
      <c r="F118" s="3">
        <v>1</v>
      </c>
      <c r="G118" s="3" t="s">
        <v>44</v>
      </c>
      <c r="H118" s="3">
        <v>53</v>
      </c>
    </row>
    <row r="119" spans="1:8">
      <c r="A119" s="5">
        <v>45723</v>
      </c>
      <c r="B119" s="21">
        <v>315600831001</v>
      </c>
      <c r="C119" s="3" t="s">
        <v>220</v>
      </c>
      <c r="D119" s="3" t="s">
        <v>221</v>
      </c>
      <c r="E119" s="3" t="s">
        <v>48</v>
      </c>
      <c r="F119" s="3">
        <v>1</v>
      </c>
      <c r="G119" s="3" t="s">
        <v>49</v>
      </c>
      <c r="H119" s="3">
        <v>53</v>
      </c>
    </row>
    <row r="120" spans="1:8">
      <c r="A120" s="5">
        <v>45726</v>
      </c>
      <c r="B120" s="21">
        <v>315600797002</v>
      </c>
      <c r="C120" s="3" t="s">
        <v>226</v>
      </c>
      <c r="D120" s="3" t="s">
        <v>227</v>
      </c>
      <c r="E120" s="3" t="s">
        <v>10</v>
      </c>
      <c r="F120" s="3">
        <v>38</v>
      </c>
      <c r="G120" s="3" t="s">
        <v>44</v>
      </c>
      <c r="H120" s="3">
        <v>55</v>
      </c>
    </row>
    <row r="121" spans="1:8">
      <c r="A121" s="5">
        <v>45726</v>
      </c>
      <c r="B121" s="21">
        <v>315600797002</v>
      </c>
      <c r="C121" s="3" t="s">
        <v>226</v>
      </c>
      <c r="D121" s="3" t="s">
        <v>227</v>
      </c>
      <c r="E121" s="3" t="s">
        <v>48</v>
      </c>
      <c r="F121" s="3">
        <v>38</v>
      </c>
      <c r="G121" s="3" t="s">
        <v>49</v>
      </c>
      <c r="H121" s="3">
        <v>55</v>
      </c>
    </row>
    <row r="122" spans="1:8">
      <c r="A122" s="5">
        <v>45726</v>
      </c>
      <c r="B122" s="21">
        <v>315600974001</v>
      </c>
      <c r="C122" s="3" t="s">
        <v>229</v>
      </c>
      <c r="D122" s="3" t="s">
        <v>230</v>
      </c>
      <c r="E122" s="3" t="s">
        <v>10</v>
      </c>
      <c r="F122" s="3">
        <v>13</v>
      </c>
      <c r="G122" s="3" t="s">
        <v>44</v>
      </c>
      <c r="H122" s="3">
        <v>56</v>
      </c>
    </row>
    <row r="123" spans="1:8">
      <c r="A123" s="5">
        <v>45726</v>
      </c>
      <c r="B123" s="21">
        <v>315600974001</v>
      </c>
      <c r="C123" s="3" t="s">
        <v>229</v>
      </c>
      <c r="D123" s="3" t="s">
        <v>230</v>
      </c>
      <c r="E123" s="3" t="s">
        <v>48</v>
      </c>
      <c r="F123" s="3">
        <v>13</v>
      </c>
      <c r="G123" s="3" t="s">
        <v>49</v>
      </c>
      <c r="H123" s="3">
        <v>56</v>
      </c>
    </row>
    <row r="124" spans="1:8">
      <c r="A124" s="5">
        <v>45726</v>
      </c>
      <c r="B124" s="21">
        <v>319000077002</v>
      </c>
      <c r="C124" s="3" t="s">
        <v>232</v>
      </c>
      <c r="D124" s="3" t="s">
        <v>233</v>
      </c>
      <c r="E124" s="3" t="s">
        <v>10</v>
      </c>
      <c r="F124" s="3">
        <v>3</v>
      </c>
      <c r="G124" s="3" t="s">
        <v>44</v>
      </c>
      <c r="H124" s="3">
        <v>57</v>
      </c>
    </row>
    <row r="125" spans="1:8">
      <c r="A125" s="5">
        <v>45726</v>
      </c>
      <c r="B125" s="21">
        <v>319000077002</v>
      </c>
      <c r="C125" s="3" t="s">
        <v>232</v>
      </c>
      <c r="D125" s="3" t="s">
        <v>233</v>
      </c>
      <c r="E125" s="3" t="s">
        <v>48</v>
      </c>
      <c r="F125" s="3">
        <v>3</v>
      </c>
      <c r="G125" s="3" t="s">
        <v>49</v>
      </c>
      <c r="H125" s="3">
        <v>57</v>
      </c>
    </row>
    <row r="126" spans="1:8">
      <c r="A126" s="5">
        <v>45726</v>
      </c>
      <c r="B126" s="21">
        <v>315600381000</v>
      </c>
      <c r="C126" s="3" t="s">
        <v>235</v>
      </c>
      <c r="D126" s="3" t="s">
        <v>225</v>
      </c>
      <c r="E126" s="3" t="s">
        <v>10</v>
      </c>
      <c r="F126" s="3">
        <v>363</v>
      </c>
      <c r="G126" s="3" t="s">
        <v>44</v>
      </c>
      <c r="H126" s="3">
        <v>54</v>
      </c>
    </row>
    <row r="127" spans="1:8">
      <c r="A127" s="5">
        <v>45726</v>
      </c>
      <c r="B127" s="21">
        <v>315600381000</v>
      </c>
      <c r="C127" s="3" t="s">
        <v>235</v>
      </c>
      <c r="D127" s="3" t="s">
        <v>225</v>
      </c>
      <c r="E127" s="3" t="s">
        <v>48</v>
      </c>
      <c r="F127" s="3">
        <v>363</v>
      </c>
      <c r="G127" s="3" t="s">
        <v>49</v>
      </c>
      <c r="H127" s="3">
        <v>54</v>
      </c>
    </row>
    <row r="128" spans="1:8">
      <c r="A128" s="5">
        <v>45726</v>
      </c>
      <c r="B128" s="21">
        <v>315600859000</v>
      </c>
      <c r="C128" s="3" t="s">
        <v>236</v>
      </c>
      <c r="D128" s="3" t="s">
        <v>237</v>
      </c>
      <c r="E128" s="3" t="s">
        <v>10</v>
      </c>
      <c r="F128" s="3">
        <v>96</v>
      </c>
      <c r="G128" s="3" t="s">
        <v>44</v>
      </c>
      <c r="H128" s="3">
        <v>58</v>
      </c>
    </row>
    <row r="129" spans="1:8">
      <c r="A129" s="5">
        <v>45726</v>
      </c>
      <c r="B129" s="21">
        <v>315600859000</v>
      </c>
      <c r="C129" s="3" t="s">
        <v>236</v>
      </c>
      <c r="D129" s="3" t="s">
        <v>237</v>
      </c>
      <c r="E129" s="3" t="s">
        <v>48</v>
      </c>
      <c r="F129" s="3">
        <v>96</v>
      </c>
      <c r="G129" s="3" t="s">
        <v>49</v>
      </c>
      <c r="H129" s="3">
        <v>58</v>
      </c>
    </row>
    <row r="130" spans="1:8">
      <c r="A130" s="5">
        <v>45726</v>
      </c>
      <c r="B130" s="21">
        <v>990000000012</v>
      </c>
      <c r="C130" s="3" t="s">
        <v>245</v>
      </c>
      <c r="D130" s="3" t="s">
        <v>245</v>
      </c>
      <c r="E130" s="3" t="s">
        <v>10</v>
      </c>
      <c r="F130" s="3">
        <v>35</v>
      </c>
      <c r="G130" s="3" t="s">
        <v>44</v>
      </c>
      <c r="H130" s="3">
        <v>60</v>
      </c>
    </row>
    <row r="131" spans="1:8">
      <c r="A131" s="5">
        <v>45733</v>
      </c>
      <c r="B131" s="21">
        <v>990000000012</v>
      </c>
      <c r="C131" s="3" t="s">
        <v>245</v>
      </c>
      <c r="D131" s="3" t="s">
        <v>245</v>
      </c>
      <c r="E131" s="3" t="s">
        <v>48</v>
      </c>
      <c r="F131" s="3">
        <v>35</v>
      </c>
      <c r="G131" s="3" t="s">
        <v>49</v>
      </c>
      <c r="H131" s="3">
        <v>60</v>
      </c>
    </row>
    <row r="132" spans="1:8">
      <c r="A132" s="5">
        <v>45733</v>
      </c>
      <c r="B132" s="21">
        <v>319600063003</v>
      </c>
      <c r="C132" s="3" t="s">
        <v>247</v>
      </c>
      <c r="D132" s="3" t="s">
        <v>248</v>
      </c>
      <c r="E132" s="3" t="s">
        <v>10</v>
      </c>
      <c r="F132" s="3">
        <v>362</v>
      </c>
      <c r="G132" s="3" t="s">
        <v>44</v>
      </c>
      <c r="H132" s="3">
        <v>61</v>
      </c>
    </row>
    <row r="133" spans="1:8">
      <c r="A133" s="5">
        <v>45733</v>
      </c>
      <c r="B133" s="21">
        <v>319600063003</v>
      </c>
      <c r="C133" s="3" t="s">
        <v>247</v>
      </c>
      <c r="D133" s="3" t="s">
        <v>248</v>
      </c>
      <c r="E133" s="3" t="s">
        <v>48</v>
      </c>
      <c r="F133" s="3">
        <v>362</v>
      </c>
      <c r="G133" s="3" t="s">
        <v>49</v>
      </c>
      <c r="H133" s="3">
        <v>61</v>
      </c>
    </row>
    <row r="134" spans="1:8">
      <c r="A134" s="5">
        <v>45733</v>
      </c>
      <c r="B134" s="21">
        <v>990000000013</v>
      </c>
      <c r="C134" s="3" t="s">
        <v>250</v>
      </c>
      <c r="D134" s="3" t="s">
        <v>250</v>
      </c>
      <c r="E134" s="3" t="s">
        <v>10</v>
      </c>
      <c r="F134" s="3">
        <v>700</v>
      </c>
      <c r="G134" s="3" t="s">
        <v>44</v>
      </c>
      <c r="H134" s="3">
        <v>62</v>
      </c>
    </row>
    <row r="135" spans="1:8">
      <c r="A135" s="5">
        <v>45733</v>
      </c>
      <c r="B135" s="21">
        <v>990000000013</v>
      </c>
      <c r="C135" s="3" t="s">
        <v>250</v>
      </c>
      <c r="D135" s="3" t="s">
        <v>250</v>
      </c>
      <c r="E135" s="3" t="s">
        <v>48</v>
      </c>
      <c r="F135" s="3">
        <v>700</v>
      </c>
      <c r="G135" s="3" t="s">
        <v>49</v>
      </c>
      <c r="H135" s="3">
        <v>62</v>
      </c>
    </row>
    <row r="136" spans="1:8">
      <c r="A136" s="5">
        <v>45733</v>
      </c>
      <c r="B136" s="21">
        <v>980000000001</v>
      </c>
      <c r="C136" s="3" t="s">
        <v>253</v>
      </c>
      <c r="D136" s="3" t="s">
        <v>254</v>
      </c>
      <c r="E136" s="3" t="s">
        <v>10</v>
      </c>
      <c r="F136" s="3">
        <v>40</v>
      </c>
      <c r="G136" s="3" t="s">
        <v>44</v>
      </c>
      <c r="H136" s="3">
        <v>63</v>
      </c>
    </row>
    <row r="137" spans="1:8">
      <c r="A137" s="5">
        <v>45737</v>
      </c>
      <c r="B137" s="21">
        <v>980000000001</v>
      </c>
      <c r="C137" s="3" t="s">
        <v>253</v>
      </c>
      <c r="D137" s="3" t="s">
        <v>254</v>
      </c>
      <c r="E137" s="3" t="s">
        <v>48</v>
      </c>
      <c r="F137" s="3">
        <v>40</v>
      </c>
      <c r="G137" s="3" t="s">
        <v>49</v>
      </c>
      <c r="H137" s="3">
        <v>63</v>
      </c>
    </row>
    <row r="138" spans="1:8">
      <c r="A138" s="5">
        <v>45737</v>
      </c>
      <c r="B138" s="21">
        <v>990000000014</v>
      </c>
      <c r="C138" s="3" t="s">
        <v>255</v>
      </c>
      <c r="D138" s="3" t="s">
        <v>255</v>
      </c>
      <c r="E138" s="3" t="s">
        <v>10</v>
      </c>
      <c r="F138" s="3">
        <v>40</v>
      </c>
      <c r="G138" s="3" t="s">
        <v>44</v>
      </c>
      <c r="H138" s="3">
        <v>64</v>
      </c>
    </row>
    <row r="139" spans="1:8">
      <c r="A139" s="5">
        <v>45737</v>
      </c>
      <c r="B139" s="21">
        <v>990000000014</v>
      </c>
      <c r="C139" s="3" t="s">
        <v>255</v>
      </c>
      <c r="D139" s="3" t="s">
        <v>255</v>
      </c>
      <c r="E139" s="3" t="s">
        <v>48</v>
      </c>
      <c r="F139" s="3">
        <v>40</v>
      </c>
      <c r="G139" s="3" t="s">
        <v>49</v>
      </c>
      <c r="H139" s="3">
        <v>64</v>
      </c>
    </row>
    <row r="140" spans="1:8">
      <c r="A140" s="5">
        <v>45737</v>
      </c>
      <c r="B140" s="21">
        <v>990000000015</v>
      </c>
      <c r="C140" s="3" t="s">
        <v>258</v>
      </c>
      <c r="D140" s="3" t="s">
        <v>258</v>
      </c>
      <c r="E140" s="3" t="s">
        <v>10</v>
      </c>
      <c r="F140" s="3">
        <v>40</v>
      </c>
      <c r="G140" s="3" t="s">
        <v>44</v>
      </c>
      <c r="H140" s="3">
        <v>65</v>
      </c>
    </row>
    <row r="141" spans="1:8">
      <c r="A141" s="5">
        <v>45737</v>
      </c>
      <c r="B141" s="21">
        <v>990000000015</v>
      </c>
      <c r="C141" s="3" t="s">
        <v>258</v>
      </c>
      <c r="D141" s="3" t="s">
        <v>258</v>
      </c>
      <c r="E141" s="3" t="s">
        <v>48</v>
      </c>
      <c r="F141" s="3">
        <v>40</v>
      </c>
      <c r="G141" s="3" t="s">
        <v>49</v>
      </c>
      <c r="H141" s="3">
        <v>65</v>
      </c>
    </row>
    <row r="142" spans="1:8">
      <c r="A142" s="5">
        <v>45737</v>
      </c>
      <c r="B142" s="21">
        <v>990000000016</v>
      </c>
      <c r="C142" s="3" t="s">
        <v>259</v>
      </c>
      <c r="D142" s="3" t="s">
        <v>259</v>
      </c>
      <c r="E142" s="3" t="s">
        <v>10</v>
      </c>
      <c r="F142" s="3">
        <v>40</v>
      </c>
      <c r="G142" s="3" t="s">
        <v>44</v>
      </c>
      <c r="H142" s="3">
        <v>66</v>
      </c>
    </row>
    <row r="143" spans="1:8">
      <c r="A143" s="5">
        <v>45737</v>
      </c>
      <c r="B143" s="21">
        <v>990000000016</v>
      </c>
      <c r="C143" s="3" t="s">
        <v>259</v>
      </c>
      <c r="D143" s="3" t="s">
        <v>259</v>
      </c>
      <c r="E143" s="3" t="s">
        <v>48</v>
      </c>
      <c r="F143" s="3">
        <v>40</v>
      </c>
      <c r="G143" s="3" t="s">
        <v>49</v>
      </c>
      <c r="H143" s="3">
        <v>66</v>
      </c>
    </row>
    <row r="144" spans="1:8">
      <c r="A144" s="5">
        <v>45737</v>
      </c>
      <c r="B144" s="21">
        <v>990000000018</v>
      </c>
      <c r="C144" s="3" t="s">
        <v>245</v>
      </c>
      <c r="D144" s="3" t="s">
        <v>245</v>
      </c>
      <c r="E144" s="3" t="s">
        <v>10</v>
      </c>
      <c r="F144" s="3">
        <v>28</v>
      </c>
      <c r="G144" s="3" t="s">
        <v>44</v>
      </c>
      <c r="H144" s="3">
        <v>68</v>
      </c>
    </row>
    <row r="145" spans="1:8">
      <c r="A145" s="5">
        <v>45737</v>
      </c>
      <c r="B145" s="21">
        <v>990000000018</v>
      </c>
      <c r="C145" s="3" t="s">
        <v>245</v>
      </c>
      <c r="D145" s="3" t="s">
        <v>245</v>
      </c>
      <c r="E145" s="3" t="s">
        <v>48</v>
      </c>
      <c r="F145" s="3">
        <v>28</v>
      </c>
      <c r="G145" s="3" t="s">
        <v>49</v>
      </c>
      <c r="H145" s="3">
        <v>68</v>
      </c>
    </row>
    <row r="146" spans="1:8">
      <c r="A146" s="5">
        <v>45737</v>
      </c>
      <c r="B146" s="21">
        <v>990000000019</v>
      </c>
      <c r="C146" s="3" t="s">
        <v>250</v>
      </c>
      <c r="D146" s="3" t="s">
        <v>250</v>
      </c>
      <c r="E146" s="3" t="s">
        <v>10</v>
      </c>
      <c r="F146" s="3">
        <v>700</v>
      </c>
      <c r="G146" s="3" t="s">
        <v>44</v>
      </c>
      <c r="H146" s="3">
        <v>69</v>
      </c>
    </row>
    <row r="147" spans="1:8">
      <c r="A147" s="5">
        <v>45737</v>
      </c>
      <c r="B147" s="21">
        <v>990000000019</v>
      </c>
      <c r="C147" s="3" t="s">
        <v>250</v>
      </c>
      <c r="D147" s="3" t="s">
        <v>250</v>
      </c>
      <c r="E147" s="3" t="s">
        <v>48</v>
      </c>
      <c r="F147" s="3">
        <v>700</v>
      </c>
      <c r="G147" s="3" t="s">
        <v>49</v>
      </c>
      <c r="H147" s="3">
        <v>69</v>
      </c>
    </row>
    <row r="148" spans="1:8">
      <c r="A148" s="5">
        <v>45740</v>
      </c>
      <c r="B148" s="21">
        <v>315600734000</v>
      </c>
      <c r="C148" s="3" t="s">
        <v>60</v>
      </c>
      <c r="D148" s="3" t="s">
        <v>61</v>
      </c>
      <c r="E148" s="3" t="s">
        <v>10</v>
      </c>
      <c r="F148" s="3">
        <v>500</v>
      </c>
      <c r="G148" s="3" t="s">
        <v>269</v>
      </c>
      <c r="H148" s="3">
        <v>11</v>
      </c>
    </row>
    <row r="149" spans="1:8">
      <c r="A149" s="5">
        <v>45740</v>
      </c>
      <c r="B149" s="21">
        <v>311980085000</v>
      </c>
      <c r="C149" s="3" t="s">
        <v>270</v>
      </c>
      <c r="D149" s="3" t="s">
        <v>270</v>
      </c>
      <c r="E149" s="3" t="s">
        <v>10</v>
      </c>
      <c r="F149" s="3">
        <v>100</v>
      </c>
      <c r="G149" s="3" t="s">
        <v>44</v>
      </c>
      <c r="H149" s="3">
        <v>71</v>
      </c>
    </row>
    <row r="150" spans="1:8">
      <c r="A150" s="5">
        <v>45740</v>
      </c>
      <c r="B150" s="21">
        <v>311980086000</v>
      </c>
      <c r="C150" s="3" t="s">
        <v>275</v>
      </c>
      <c r="D150" s="3" t="s">
        <v>275</v>
      </c>
      <c r="E150" s="3" t="s">
        <v>10</v>
      </c>
      <c r="F150" s="3">
        <v>100</v>
      </c>
      <c r="G150" s="3" t="s">
        <v>44</v>
      </c>
      <c r="H150" s="3">
        <v>73</v>
      </c>
    </row>
    <row r="151" spans="1:8">
      <c r="A151" s="5">
        <v>45740</v>
      </c>
      <c r="B151" s="21">
        <v>311980086000</v>
      </c>
      <c r="C151" s="3" t="s">
        <v>275</v>
      </c>
      <c r="D151" s="3" t="s">
        <v>275</v>
      </c>
      <c r="E151" s="3" t="s">
        <v>48</v>
      </c>
      <c r="F151" s="3">
        <v>100</v>
      </c>
      <c r="G151" s="3" t="s">
        <v>49</v>
      </c>
      <c r="H151" s="3">
        <v>73</v>
      </c>
    </row>
    <row r="152" spans="1:8">
      <c r="A152" s="5">
        <v>45740</v>
      </c>
      <c r="B152" s="21">
        <v>311980085000</v>
      </c>
      <c r="C152" s="3" t="s">
        <v>270</v>
      </c>
      <c r="D152" s="3" t="s">
        <v>270</v>
      </c>
      <c r="E152" s="3" t="s">
        <v>48</v>
      </c>
      <c r="F152" s="3">
        <v>100</v>
      </c>
      <c r="G152" s="3" t="s">
        <v>49</v>
      </c>
      <c r="H152" s="3">
        <v>71</v>
      </c>
    </row>
    <row r="153" spans="1:8">
      <c r="A153" s="5">
        <v>45740</v>
      </c>
      <c r="B153" s="21">
        <v>990000000020</v>
      </c>
      <c r="C153" s="3" t="s">
        <v>277</v>
      </c>
      <c r="D153" s="3" t="s">
        <v>277</v>
      </c>
      <c r="E153" s="3" t="s">
        <v>10</v>
      </c>
      <c r="F153" s="3">
        <v>18</v>
      </c>
      <c r="G153" s="3" t="s">
        <v>269</v>
      </c>
      <c r="H153" s="3">
        <v>74</v>
      </c>
    </row>
    <row r="154" spans="1:8">
      <c r="A154" s="5">
        <v>45740</v>
      </c>
      <c r="B154" s="21">
        <v>315601097000</v>
      </c>
      <c r="C154" s="3" t="s">
        <v>271</v>
      </c>
      <c r="D154" s="3" t="s">
        <v>272</v>
      </c>
      <c r="E154" s="3" t="s">
        <v>10</v>
      </c>
      <c r="F154" s="3">
        <v>30</v>
      </c>
      <c r="G154" s="3" t="s">
        <v>44</v>
      </c>
      <c r="H154" s="3">
        <v>72</v>
      </c>
    </row>
    <row r="155" spans="1:8">
      <c r="A155" s="5">
        <v>45740</v>
      </c>
      <c r="B155" s="21">
        <v>315601091000</v>
      </c>
      <c r="C155" s="3" t="s">
        <v>42</v>
      </c>
      <c r="D155" s="3" t="s">
        <v>43</v>
      </c>
      <c r="E155" s="3" t="s">
        <v>10</v>
      </c>
      <c r="F155" s="3">
        <v>500</v>
      </c>
      <c r="G155" s="3" t="s">
        <v>269</v>
      </c>
      <c r="H155" s="3">
        <v>5</v>
      </c>
    </row>
    <row r="156" spans="1:8">
      <c r="A156" s="5">
        <v>45741</v>
      </c>
      <c r="B156" s="21">
        <v>315601091000</v>
      </c>
      <c r="C156" s="3" t="s">
        <v>42</v>
      </c>
      <c r="D156" s="3" t="s">
        <v>43</v>
      </c>
      <c r="E156" s="3" t="s">
        <v>48</v>
      </c>
      <c r="F156" s="3">
        <v>150</v>
      </c>
      <c r="G156" s="3" t="s">
        <v>283</v>
      </c>
      <c r="H156" s="3">
        <v>5</v>
      </c>
    </row>
    <row r="157" spans="1:8">
      <c r="A157" s="5">
        <v>45741</v>
      </c>
      <c r="B157" s="21">
        <v>315601091000</v>
      </c>
      <c r="C157" s="3" t="s">
        <v>42</v>
      </c>
      <c r="D157" s="3" t="s">
        <v>43</v>
      </c>
      <c r="E157" s="3" t="s">
        <v>48</v>
      </c>
      <c r="F157" s="3">
        <v>50</v>
      </c>
      <c r="G157" s="3" t="s">
        <v>49</v>
      </c>
      <c r="H157" s="3">
        <v>5</v>
      </c>
    </row>
    <row r="158" spans="1:8">
      <c r="A158" s="5">
        <v>45741</v>
      </c>
      <c r="B158" s="21">
        <v>315600831001</v>
      </c>
      <c r="C158" s="3" t="s">
        <v>220</v>
      </c>
      <c r="D158" s="3" t="s">
        <v>221</v>
      </c>
      <c r="E158" s="3" t="s">
        <v>10</v>
      </c>
      <c r="F158" s="3">
        <v>14</v>
      </c>
      <c r="G158" s="3" t="s">
        <v>44</v>
      </c>
      <c r="H158" s="3">
        <v>53</v>
      </c>
    </row>
    <row r="159" spans="1:8">
      <c r="A159" s="5">
        <v>45741</v>
      </c>
      <c r="B159" s="21">
        <v>315600831001</v>
      </c>
      <c r="C159" s="3" t="s">
        <v>220</v>
      </c>
      <c r="D159" s="3" t="s">
        <v>221</v>
      </c>
      <c r="E159" s="3" t="s">
        <v>48</v>
      </c>
      <c r="F159" s="3">
        <v>14</v>
      </c>
      <c r="G159" s="3" t="s">
        <v>49</v>
      </c>
      <c r="H159" s="3">
        <v>53</v>
      </c>
    </row>
    <row r="160" spans="1:8">
      <c r="A160" s="5">
        <v>45741</v>
      </c>
      <c r="B160" s="21">
        <v>990000000024</v>
      </c>
      <c r="C160" s="3" t="s">
        <v>293</v>
      </c>
      <c r="D160" s="3" t="s">
        <v>293</v>
      </c>
      <c r="E160" s="3" t="s">
        <v>10</v>
      </c>
      <c r="F160" s="3">
        <v>8</v>
      </c>
      <c r="G160" s="3" t="s">
        <v>44</v>
      </c>
      <c r="H160" s="3">
        <v>80</v>
      </c>
    </row>
    <row r="161" spans="1:8">
      <c r="A161" s="5">
        <v>45742</v>
      </c>
      <c r="B161" s="21">
        <v>990000000024</v>
      </c>
      <c r="C161" s="3" t="s">
        <v>293</v>
      </c>
      <c r="D161" s="3" t="s">
        <v>293</v>
      </c>
      <c r="E161" s="3" t="s">
        <v>48</v>
      </c>
      <c r="F161" s="3">
        <v>8</v>
      </c>
      <c r="G161" s="3" t="s">
        <v>49</v>
      </c>
      <c r="H161" s="3">
        <v>80</v>
      </c>
    </row>
    <row r="162" spans="1:8">
      <c r="A162" s="5">
        <v>45742</v>
      </c>
      <c r="B162" s="21">
        <v>315601091000</v>
      </c>
      <c r="C162" s="3" t="s">
        <v>42</v>
      </c>
      <c r="D162" s="3" t="s">
        <v>43</v>
      </c>
      <c r="E162" s="3" t="s">
        <v>48</v>
      </c>
      <c r="F162" s="3">
        <v>150</v>
      </c>
      <c r="G162" s="3" t="s">
        <v>49</v>
      </c>
      <c r="H162" s="3">
        <v>5</v>
      </c>
    </row>
    <row r="163" spans="1:8">
      <c r="A163" s="5">
        <v>45742</v>
      </c>
      <c r="B163" s="21">
        <v>990000000025</v>
      </c>
      <c r="C163" s="3" t="s">
        <v>295</v>
      </c>
      <c r="D163" s="3" t="s">
        <v>295</v>
      </c>
      <c r="E163" s="3" t="s">
        <v>10</v>
      </c>
      <c r="F163" s="3">
        <v>2</v>
      </c>
      <c r="G163" s="3" t="s">
        <v>44</v>
      </c>
      <c r="H163" s="3">
        <v>81</v>
      </c>
    </row>
    <row r="164" spans="1:8">
      <c r="A164" s="5">
        <v>45742</v>
      </c>
      <c r="B164" s="21">
        <v>990000000025</v>
      </c>
      <c r="C164" s="3" t="s">
        <v>295</v>
      </c>
      <c r="D164" s="3" t="s">
        <v>295</v>
      </c>
      <c r="E164" s="3" t="s">
        <v>48</v>
      </c>
      <c r="F164" s="3">
        <v>2</v>
      </c>
      <c r="G164" s="3" t="s">
        <v>49</v>
      </c>
      <c r="H164" s="3">
        <v>81</v>
      </c>
    </row>
    <row r="165" spans="1:8">
      <c r="A165" s="5">
        <v>45742</v>
      </c>
      <c r="B165" s="21">
        <v>315601097000</v>
      </c>
      <c r="C165" s="3" t="s">
        <v>271</v>
      </c>
      <c r="D165" s="3" t="s">
        <v>272</v>
      </c>
      <c r="E165" s="3" t="s">
        <v>48</v>
      </c>
      <c r="F165" s="3">
        <v>30</v>
      </c>
      <c r="G165" s="3" t="s">
        <v>49</v>
      </c>
      <c r="H165" s="3">
        <v>72</v>
      </c>
    </row>
    <row r="166" spans="1:8">
      <c r="A166" s="5">
        <v>45744</v>
      </c>
      <c r="B166" s="21">
        <v>319600056004</v>
      </c>
      <c r="C166" s="3" t="s">
        <v>300</v>
      </c>
      <c r="D166" s="3" t="s">
        <v>301</v>
      </c>
      <c r="E166" s="3" t="s">
        <v>10</v>
      </c>
      <c r="F166" s="3">
        <v>453</v>
      </c>
      <c r="G166" s="3" t="s">
        <v>44</v>
      </c>
      <c r="H166" s="3">
        <v>82</v>
      </c>
    </row>
    <row r="167" spans="1:8">
      <c r="A167" s="5">
        <v>45744</v>
      </c>
      <c r="B167" s="21">
        <v>319600056004</v>
      </c>
      <c r="C167" s="3" t="s">
        <v>300</v>
      </c>
      <c r="D167" s="3" t="s">
        <v>301</v>
      </c>
      <c r="E167" s="3" t="s">
        <v>48</v>
      </c>
      <c r="F167" s="3">
        <v>453</v>
      </c>
      <c r="G167" s="3" t="s">
        <v>49</v>
      </c>
      <c r="H167" s="3">
        <v>82</v>
      </c>
    </row>
    <row r="168" spans="1:8">
      <c r="A168" s="5">
        <v>45744</v>
      </c>
      <c r="B168" s="21">
        <v>319600053004</v>
      </c>
      <c r="C168" s="3" t="s">
        <v>302</v>
      </c>
      <c r="D168" s="3" t="s">
        <v>303</v>
      </c>
      <c r="E168" s="3" t="s">
        <v>10</v>
      </c>
      <c r="F168" s="3">
        <v>404</v>
      </c>
      <c r="G168" s="3" t="s">
        <v>44</v>
      </c>
      <c r="H168" s="3">
        <v>83</v>
      </c>
    </row>
    <row r="169" spans="1:8">
      <c r="A169" s="5">
        <v>45744</v>
      </c>
      <c r="B169" s="21">
        <v>319600053004</v>
      </c>
      <c r="C169" s="3" t="s">
        <v>302</v>
      </c>
      <c r="D169" s="3" t="s">
        <v>303</v>
      </c>
      <c r="E169" s="3" t="s">
        <v>48</v>
      </c>
      <c r="F169" s="3">
        <v>404</v>
      </c>
      <c r="G169" s="3" t="s">
        <v>49</v>
      </c>
      <c r="H169" s="3">
        <v>83</v>
      </c>
    </row>
    <row r="170" spans="1:8">
      <c r="A170" s="5">
        <v>45744</v>
      </c>
      <c r="B170" s="21">
        <v>319600045006</v>
      </c>
      <c r="C170" s="3" t="s">
        <v>192</v>
      </c>
      <c r="D170" s="3" t="s">
        <v>193</v>
      </c>
      <c r="E170" s="3" t="s">
        <v>10</v>
      </c>
      <c r="F170" s="3">
        <v>181</v>
      </c>
      <c r="G170" s="3" t="s">
        <v>44</v>
      </c>
      <c r="H170" s="3">
        <v>45</v>
      </c>
    </row>
    <row r="171" spans="1:8">
      <c r="A171" s="5">
        <v>45747</v>
      </c>
      <c r="B171" s="21">
        <v>319600045006</v>
      </c>
      <c r="C171" s="3" t="s">
        <v>192</v>
      </c>
      <c r="D171" s="3" t="s">
        <v>193</v>
      </c>
      <c r="E171" s="3" t="s">
        <v>48</v>
      </c>
      <c r="F171" s="3">
        <v>181</v>
      </c>
      <c r="G171" s="3" t="s">
        <v>49</v>
      </c>
      <c r="H171" s="3">
        <v>45</v>
      </c>
    </row>
    <row r="172" spans="1:8">
      <c r="A172" s="5">
        <v>45747</v>
      </c>
      <c r="B172" s="21">
        <v>990000000011</v>
      </c>
      <c r="C172" s="3" t="s">
        <v>243</v>
      </c>
      <c r="D172" s="3" t="s">
        <v>244</v>
      </c>
      <c r="E172" s="3" t="s">
        <v>10</v>
      </c>
      <c r="F172" s="3">
        <v>200</v>
      </c>
      <c r="G172" s="3" t="s">
        <v>269</v>
      </c>
      <c r="H172" s="3">
        <v>59</v>
      </c>
    </row>
  </sheetData>
  <sheetProtection algorithmName="SHA-512" hashValue="m+7NDhIRkrHDm6EhCNbUTxXsgNa2FD6WFE1pgjebhX7SWugV5N3+vA1MT15+9KbUAxd3xyD6bve4KrnWApzNDQ==" saltValue="qoIJP1vEeZ87t6gbuAVFMA==" spinCount="100000" sheet="1" objects="1" scenarios="1"/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2CEA-1D2D-4360-8BBA-4BFD249A35A5}">
  <sheetPr codeName="工作表5"/>
  <dimension ref="A1:I86"/>
  <sheetViews>
    <sheetView zoomScale="40" zoomScaleNormal="40" workbookViewId="0">
      <pane ySplit="1" topLeftCell="A47" activePane="bottomLeft" state="frozen"/>
      <selection activeCell="E15" sqref="E15"/>
      <selection pane="bottomLeft" activeCell="C32" sqref="C32"/>
    </sheetView>
  </sheetViews>
  <sheetFormatPr defaultColWidth="8.85546875" defaultRowHeight="15"/>
  <cols>
    <col min="1" max="1" width="18.640625" style="19" bestFit="1" customWidth="1"/>
    <col min="2" max="2" width="161.7109375" style="16" bestFit="1" customWidth="1"/>
    <col min="3" max="3" width="128.140625" style="4" bestFit="1" customWidth="1"/>
    <col min="4" max="4" width="12.0703125" style="4" bestFit="1" customWidth="1"/>
    <col min="5" max="5" width="12.0703125" style="21" bestFit="1" customWidth="1"/>
    <col min="6" max="6" width="8.85546875" style="21" bestFit="1" customWidth="1"/>
    <col min="7" max="7" width="8.85546875" style="4" bestFit="1" customWidth="1"/>
    <col min="8" max="8" width="14.92578125" style="4" bestFit="1" customWidth="1"/>
    <col min="9" max="9" width="8.5" style="4" customWidth="1"/>
    <col min="10" max="16384" width="8.85546875" style="4"/>
  </cols>
  <sheetData>
    <row r="1" spans="1:9" ht="22.9">
      <c r="A1" s="17" t="s">
        <v>14</v>
      </c>
      <c r="B1" s="11" t="s">
        <v>2</v>
      </c>
      <c r="C1" s="11" t="s">
        <v>3</v>
      </c>
      <c r="D1" s="11" t="s">
        <v>4</v>
      </c>
      <c r="E1" s="32" t="s">
        <v>15</v>
      </c>
      <c r="F1" s="32" t="s">
        <v>12</v>
      </c>
      <c r="G1" s="12" t="s">
        <v>13</v>
      </c>
      <c r="H1" s="22" t="s">
        <v>16</v>
      </c>
      <c r="I1" s="24" t="s">
        <v>62</v>
      </c>
    </row>
    <row r="2" spans="1:9" ht="15.75">
      <c r="A2" s="18">
        <v>315600127001</v>
      </c>
      <c r="B2" s="1" t="s">
        <v>47</v>
      </c>
      <c r="C2" s="13" t="s">
        <v>46</v>
      </c>
      <c r="D2" s="13"/>
      <c r="E2" s="33">
        <f>IFERROR(SUMIF(治具庫!A:A, A2, 治具庫!E:E), 0) + IFERROR(SUMIF(線上!A:A, A2, 線上!E:E), 0)</f>
        <v>22</v>
      </c>
      <c r="F2" s="61"/>
      <c r="G2" s="14"/>
      <c r="H2" s="15"/>
      <c r="I2" s="23"/>
    </row>
    <row r="3" spans="1:9" ht="15.75">
      <c r="A3" s="18">
        <v>315600217001</v>
      </c>
      <c r="B3" s="1" t="s">
        <v>50</v>
      </c>
      <c r="C3" s="13" t="s">
        <v>51</v>
      </c>
      <c r="D3" s="13"/>
      <c r="E3" s="33">
        <f>IFERROR(SUMIF(治具庫!A:A, A3, 治具庫!E:E), 0) + IFERROR(SUMIF(線上!A:A, A3, 線上!E:E), 0)</f>
        <v>132</v>
      </c>
      <c r="F3" s="61"/>
      <c r="G3" s="14"/>
      <c r="H3" s="15"/>
      <c r="I3" s="23"/>
    </row>
    <row r="4" spans="1:9" ht="15.75">
      <c r="A4" s="18">
        <v>315600868001</v>
      </c>
      <c r="B4" s="1" t="s">
        <v>52</v>
      </c>
      <c r="C4" s="13" t="s">
        <v>53</v>
      </c>
      <c r="D4" s="13"/>
      <c r="E4" s="33">
        <f>IFERROR(SUMIF(治具庫!A:A, A4, 治具庫!E:E), 0) + IFERROR(SUMIF(線上!A:A, A4, 線上!E:E), 0)</f>
        <v>28</v>
      </c>
      <c r="F4" s="61"/>
      <c r="G4" s="14"/>
      <c r="H4" s="15"/>
      <c r="I4" s="23"/>
    </row>
    <row r="5" spans="1:9" ht="15.75">
      <c r="A5" s="18">
        <v>315600869000</v>
      </c>
      <c r="B5" s="1" t="s">
        <v>54</v>
      </c>
      <c r="C5" s="13" t="s">
        <v>55</v>
      </c>
      <c r="D5" s="13"/>
      <c r="E5" s="33">
        <f>IFERROR(SUMIF(治具庫!A:A, A5, 治具庫!E:E), 0) + IFERROR(SUMIF(線上!A:A, A5, 線上!E:E), 0)</f>
        <v>262</v>
      </c>
      <c r="F5" s="61"/>
      <c r="G5" s="14"/>
      <c r="H5" s="15"/>
      <c r="I5" s="23"/>
    </row>
    <row r="6" spans="1:9" ht="15.75">
      <c r="A6" s="18">
        <v>315601091000</v>
      </c>
      <c r="B6" s="1" t="s">
        <v>42</v>
      </c>
      <c r="C6" s="13" t="s">
        <v>43</v>
      </c>
      <c r="D6" s="13"/>
      <c r="E6" s="33">
        <f>IFERROR(SUMIF(治具庫!A:A, A6, 治具庫!E:E), 0) + IFERROR(SUMIF(線上!A:A, A6, 線上!E:E), 0)</f>
        <v>460</v>
      </c>
      <c r="F6" s="61"/>
      <c r="G6" s="14"/>
      <c r="H6" s="15"/>
      <c r="I6" s="23"/>
    </row>
    <row r="7" spans="1:9" ht="15.75">
      <c r="A7" s="18">
        <v>319100042008</v>
      </c>
      <c r="B7" s="1" t="s">
        <v>33</v>
      </c>
      <c r="C7" s="13" t="s">
        <v>56</v>
      </c>
      <c r="D7" s="13"/>
      <c r="E7" s="33">
        <f>IFERROR(SUMIF(治具庫!A:A, A7, 治具庫!E:E), 0) + IFERROR(SUMIF(線上!A:A, A7, 線上!E:E), 0)</f>
        <v>165</v>
      </c>
      <c r="F7" s="61"/>
      <c r="G7" s="14"/>
      <c r="H7" s="15"/>
      <c r="I7" s="23"/>
    </row>
    <row r="8" spans="1:9" ht="15.75">
      <c r="A8" s="18">
        <v>315600821003</v>
      </c>
      <c r="B8" s="1" t="s">
        <v>32</v>
      </c>
      <c r="C8" s="13" t="s">
        <v>58</v>
      </c>
      <c r="D8" s="13"/>
      <c r="E8" s="33">
        <f>IFERROR(SUMIF(治具庫!A:A, A8, 治具庫!E:E), 0) + IFERROR(SUMIF(線上!A:A, A8, 線上!E:E), 0)</f>
        <v>338</v>
      </c>
      <c r="F8" s="61"/>
      <c r="G8" s="14"/>
      <c r="H8" s="15"/>
      <c r="I8" s="23"/>
    </row>
    <row r="9" spans="1:9" ht="15.75">
      <c r="A9" s="18">
        <v>315600734000</v>
      </c>
      <c r="B9" s="1" t="s">
        <v>60</v>
      </c>
      <c r="C9" s="13" t="s">
        <v>61</v>
      </c>
      <c r="D9" s="13"/>
      <c r="E9" s="33">
        <f>IFERROR(SUMIF(治具庫!A:A, A9, 治具庫!E:E), 0) + IFERROR(SUMIF(線上!A:A, A9, 線上!E:E), 0)</f>
        <v>505</v>
      </c>
      <c r="F9" s="61"/>
      <c r="G9" s="14"/>
      <c r="H9" s="15"/>
      <c r="I9" s="15"/>
    </row>
    <row r="10" spans="1:9" ht="15.75">
      <c r="A10" s="18">
        <v>990000000004</v>
      </c>
      <c r="B10" s="1" t="s">
        <v>63</v>
      </c>
      <c r="C10" s="13" t="s">
        <v>64</v>
      </c>
      <c r="D10" s="13"/>
      <c r="E10" s="33">
        <f>IFERROR(SUMIF(治具庫!A:A, A10, 治具庫!E:E), 0) + IFERROR(SUMIF(線上!A:A, A10, 線上!E:E), 0)</f>
        <v>25</v>
      </c>
      <c r="F10" s="61"/>
      <c r="G10" s="14"/>
      <c r="H10" s="15"/>
      <c r="I10" s="15"/>
    </row>
    <row r="11" spans="1:9" ht="15.75">
      <c r="A11" s="18">
        <v>315600602000</v>
      </c>
      <c r="B11" s="1" t="s">
        <v>65</v>
      </c>
      <c r="C11" s="13" t="s">
        <v>66</v>
      </c>
      <c r="D11" s="13"/>
      <c r="E11" s="33">
        <f>IFERROR(SUMIF(治具庫!A:A, A11, 治具庫!E:E), 0) + IFERROR(SUMIF(線上!A:A, A11, 線上!E:E), 0)</f>
        <v>11</v>
      </c>
      <c r="F11" s="61"/>
      <c r="G11" s="14"/>
      <c r="H11" s="15"/>
      <c r="I11" s="15"/>
    </row>
    <row r="12" spans="1:9" ht="15.75">
      <c r="A12" s="18">
        <v>315600716001</v>
      </c>
      <c r="B12" s="1" t="s">
        <v>67</v>
      </c>
      <c r="C12" s="13" t="s">
        <v>68</v>
      </c>
      <c r="D12" s="13"/>
      <c r="E12" s="33">
        <f>IFERROR(SUMIF(治具庫!A:A, A12, 治具庫!E:E), 0) + IFERROR(SUMIF(線上!A:A, A12, 線上!E:E), 0)</f>
        <v>83</v>
      </c>
      <c r="F12" s="61"/>
      <c r="G12" s="14"/>
      <c r="H12" s="15"/>
      <c r="I12" s="15"/>
    </row>
    <row r="13" spans="1:9" ht="16.149999999999999">
      <c r="A13" s="18">
        <v>315600850000</v>
      </c>
      <c r="B13" s="1" t="s">
        <v>88</v>
      </c>
      <c r="C13" s="13" t="s">
        <v>90</v>
      </c>
      <c r="D13" s="13"/>
      <c r="E13" s="33">
        <f>IFERROR(SUMIF(治具庫!A:A, A13, 治具庫!E:E), 0) + IFERROR(SUMIF(線上!A:A, A13, 線上!E:E), 0)</f>
        <v>7</v>
      </c>
      <c r="F13" s="61"/>
      <c r="G13" s="14"/>
      <c r="H13" s="15"/>
      <c r="I13" s="15"/>
    </row>
    <row r="14" spans="1:9" ht="15.75">
      <c r="A14" s="18">
        <v>315600771000</v>
      </c>
      <c r="B14" s="1" t="s">
        <v>91</v>
      </c>
      <c r="C14" s="13" t="s">
        <v>92</v>
      </c>
      <c r="D14" s="13"/>
      <c r="E14" s="33">
        <f>IFERROR(SUMIF(治具庫!A:A, A14, 治具庫!E:E), 0) + IFERROR(SUMIF(線上!A:A, A14, 線上!E:E), 0)</f>
        <v>38</v>
      </c>
      <c r="F14" s="61"/>
      <c r="G14" s="14"/>
      <c r="H14" s="15"/>
      <c r="I14" s="15"/>
    </row>
    <row r="15" spans="1:9" ht="15.75">
      <c r="A15" s="18">
        <v>299900092003</v>
      </c>
      <c r="B15" s="1" t="s">
        <v>96</v>
      </c>
      <c r="C15" s="13" t="s">
        <v>97</v>
      </c>
      <c r="D15" s="13"/>
      <c r="E15" s="33">
        <f>IFERROR(SUMIF(治具庫!A:A, A15, 治具庫!E:E), 0) + IFERROR(SUMIF(線上!A:A, A15, 線上!E:E), 0)</f>
        <v>5</v>
      </c>
      <c r="F15" s="61"/>
      <c r="G15" s="14"/>
      <c r="H15" s="15"/>
      <c r="I15" s="15"/>
    </row>
    <row r="16" spans="1:9" ht="15.75">
      <c r="A16" s="18">
        <v>315600881002</v>
      </c>
      <c r="B16" s="1" t="s">
        <v>99</v>
      </c>
      <c r="C16" s="13" t="s">
        <v>100</v>
      </c>
      <c r="D16" s="13"/>
      <c r="E16" s="33">
        <f>IFERROR(SUMIF(治具庫!A:A, A16, 治具庫!E:E), 0) + IFERROR(SUMIF(線上!A:A, A16, 線上!E:E), 0)</f>
        <v>63</v>
      </c>
      <c r="F16" s="61"/>
      <c r="G16" s="14"/>
      <c r="H16" s="15"/>
      <c r="I16" s="15"/>
    </row>
    <row r="17" spans="1:9" ht="15.75">
      <c r="A17" s="18">
        <v>315600917002</v>
      </c>
      <c r="B17" s="1" t="s">
        <v>102</v>
      </c>
      <c r="C17" s="13" t="s">
        <v>103</v>
      </c>
      <c r="D17" s="13"/>
      <c r="E17" s="33">
        <f>IFERROR(SUMIF(治具庫!A:A, A17, 治具庫!E:E), 0) + IFERROR(SUMIF(線上!A:A, A17, 線上!E:E), 0)</f>
        <v>41</v>
      </c>
      <c r="F17" s="61"/>
      <c r="G17" s="14"/>
      <c r="H17" s="15"/>
      <c r="I17" s="15"/>
    </row>
    <row r="18" spans="1:9" ht="15.75">
      <c r="A18" s="18">
        <v>990000000006</v>
      </c>
      <c r="B18" s="1" t="s">
        <v>106</v>
      </c>
      <c r="C18" s="13" t="s">
        <v>107</v>
      </c>
      <c r="D18" s="13"/>
      <c r="E18" s="33">
        <f>IFERROR(SUMIF(治具庫!A:A, A18, 治具庫!E:E), 0) + IFERROR(SUMIF(線上!A:A, A18, 線上!E:E), 0)</f>
        <v>65</v>
      </c>
      <c r="F18" s="61"/>
      <c r="G18" s="14"/>
      <c r="H18" s="15"/>
      <c r="I18" s="15"/>
    </row>
    <row r="19" spans="1:9" ht="15.75">
      <c r="A19" s="18">
        <v>990000000007</v>
      </c>
      <c r="B19" s="1" t="s">
        <v>115</v>
      </c>
      <c r="C19" s="13" t="s">
        <v>115</v>
      </c>
      <c r="D19" s="13"/>
      <c r="E19" s="33">
        <f>IFERROR(SUMIF(治具庫!A:A, A19, 治具庫!E:E), 0) + IFERROR(SUMIF(線上!A:A, A19, 線上!E:E), 0)</f>
        <v>2</v>
      </c>
      <c r="F19" s="61"/>
      <c r="G19" s="14"/>
      <c r="H19" s="15"/>
      <c r="I19" s="15"/>
    </row>
    <row r="20" spans="1:9" ht="15.75">
      <c r="A20" s="18">
        <v>315600895002</v>
      </c>
      <c r="B20" s="1" t="s">
        <v>116</v>
      </c>
      <c r="C20" s="13" t="s">
        <v>117</v>
      </c>
      <c r="D20" s="13"/>
      <c r="E20" s="33">
        <f>IFERROR(SUMIF(治具庫!A:A, A20, 治具庫!E:E), 0) + IFERROR(SUMIF(線上!A:A, A20, 線上!E:E), 0)</f>
        <v>21</v>
      </c>
      <c r="F20" s="61"/>
      <c r="G20" s="14"/>
      <c r="H20" s="15"/>
      <c r="I20" s="15"/>
    </row>
    <row r="21" spans="1:9" ht="15.75">
      <c r="A21" s="18">
        <v>990000000008</v>
      </c>
      <c r="B21" s="1" t="s">
        <v>120</v>
      </c>
      <c r="C21" s="13" t="s">
        <v>121</v>
      </c>
      <c r="D21" s="13"/>
      <c r="E21" s="33">
        <f>IFERROR(SUMIF(治具庫!A:A, A21, 治具庫!E:E), 0) + IFERROR(SUMIF(線上!A:A, A21, 線上!E:E), 0)</f>
        <v>5</v>
      </c>
      <c r="F21" s="61"/>
      <c r="G21" s="14"/>
      <c r="H21" s="15"/>
      <c r="I21" s="15"/>
    </row>
    <row r="22" spans="1:9" ht="15.75">
      <c r="A22" s="18">
        <v>990000000009</v>
      </c>
      <c r="B22" s="1" t="s">
        <v>123</v>
      </c>
      <c r="C22" s="13" t="s">
        <v>123</v>
      </c>
      <c r="D22" s="13"/>
      <c r="E22" s="33">
        <f>IFERROR(SUMIF(治具庫!A:A, A22, 治具庫!E:E), 0) + IFERROR(SUMIF(線上!A:A, A22, 線上!E:E), 0)</f>
        <v>12</v>
      </c>
      <c r="F22" s="61"/>
      <c r="G22" s="14"/>
      <c r="H22" s="15"/>
      <c r="I22" s="15"/>
    </row>
    <row r="23" spans="1:9" ht="15.75">
      <c r="A23" s="18">
        <v>315600735000</v>
      </c>
      <c r="B23" s="1" t="s">
        <v>124</v>
      </c>
      <c r="C23" s="13" t="s">
        <v>125</v>
      </c>
      <c r="D23" s="13"/>
      <c r="E23" s="33">
        <f>IFERROR(SUMIF(治具庫!A:A, A23, 治具庫!E:E), 0) + IFERROR(SUMIF(線上!A:A, A23, 線上!E:E), 0)</f>
        <v>85</v>
      </c>
      <c r="F23" s="61"/>
      <c r="G23" s="14"/>
      <c r="H23" s="15"/>
      <c r="I23" s="15"/>
    </row>
    <row r="24" spans="1:9" ht="15.75">
      <c r="A24" s="18">
        <v>990000000010</v>
      </c>
      <c r="B24" s="1" t="s">
        <v>128</v>
      </c>
      <c r="C24" s="13" t="s">
        <v>128</v>
      </c>
      <c r="D24" s="13"/>
      <c r="E24" s="33">
        <f>IFERROR(SUMIF(治具庫!A:A, A24, 治具庫!E:E), 0) + IFERROR(SUMIF(線上!A:A, A24, 線上!E:E), 0)</f>
        <v>14</v>
      </c>
      <c r="F24" s="61"/>
      <c r="G24" s="14"/>
      <c r="H24" s="15"/>
      <c r="I24" s="15"/>
    </row>
    <row r="25" spans="1:9" ht="15.75">
      <c r="A25" s="18">
        <v>315600794000</v>
      </c>
      <c r="B25" s="1" t="s">
        <v>134</v>
      </c>
      <c r="C25" s="13" t="s">
        <v>135</v>
      </c>
      <c r="D25" s="13"/>
      <c r="E25" s="33">
        <f>IFERROR(SUMIF(治具庫!A:A, A25, 治具庫!E:E), 0) + IFERROR(SUMIF(線上!A:A, A25, 線上!E:E), 0)</f>
        <v>29</v>
      </c>
      <c r="F25" s="61"/>
      <c r="G25" s="14"/>
      <c r="H25" s="15"/>
      <c r="I25" s="15"/>
    </row>
    <row r="26" spans="1:9" ht="15.75">
      <c r="A26" s="18">
        <v>319600038005</v>
      </c>
      <c r="B26" s="1" t="s">
        <v>136</v>
      </c>
      <c r="C26" s="13" t="s">
        <v>137</v>
      </c>
      <c r="D26" s="13"/>
      <c r="E26" s="33">
        <f>IFERROR(SUMIF(治具庫!A:A, A26, 治具庫!E:E), 0) + IFERROR(SUMIF(線上!A:A, A26, 線上!E:E), 0)</f>
        <v>12</v>
      </c>
      <c r="F26" s="61"/>
      <c r="G26" s="14"/>
      <c r="H26" s="15"/>
      <c r="I26" s="15"/>
    </row>
    <row r="27" spans="1:9" ht="15.75">
      <c r="A27" s="18">
        <v>319000056004</v>
      </c>
      <c r="B27" s="1" t="s">
        <v>139</v>
      </c>
      <c r="C27" s="13" t="s">
        <v>140</v>
      </c>
      <c r="D27" s="13"/>
      <c r="E27" s="33">
        <f>IFERROR(SUMIF(治具庫!A:A, A27, 治具庫!E:E), 0) + IFERROR(SUMIF(線上!A:A, A27, 線上!E:E), 0)</f>
        <v>29</v>
      </c>
      <c r="F27" s="61"/>
      <c r="G27" s="14"/>
      <c r="H27" s="15"/>
      <c r="I27" s="15"/>
    </row>
    <row r="28" spans="1:9" ht="15.75">
      <c r="A28" s="18">
        <v>315600415000</v>
      </c>
      <c r="B28" s="1" t="s">
        <v>142</v>
      </c>
      <c r="C28" s="13" t="s">
        <v>143</v>
      </c>
      <c r="D28" s="13"/>
      <c r="E28" s="33">
        <f>IFERROR(SUMIF(治具庫!A:A, A28, 治具庫!E:E), 0) + IFERROR(SUMIF(線上!A:A, A28, 線上!E:E), 0)</f>
        <v>29</v>
      </c>
      <c r="F28" s="61"/>
      <c r="G28" s="14"/>
      <c r="H28" s="15"/>
      <c r="I28" s="15"/>
    </row>
    <row r="29" spans="1:9" ht="15.75">
      <c r="A29" s="18">
        <v>319100057001</v>
      </c>
      <c r="B29" s="1" t="s">
        <v>145</v>
      </c>
      <c r="C29" s="13" t="s">
        <v>146</v>
      </c>
      <c r="D29" s="13"/>
      <c r="E29" s="33">
        <f>IFERROR(SUMIF(治具庫!A:A, A29, 治具庫!E:E), 0) + IFERROR(SUMIF(線上!A:A, A29, 線上!E:E), 0)</f>
        <v>57</v>
      </c>
      <c r="F29" s="61"/>
      <c r="G29" s="14"/>
      <c r="H29" s="15"/>
      <c r="I29" s="15"/>
    </row>
    <row r="30" spans="1:9" ht="15.75">
      <c r="A30" s="18">
        <v>315601033002</v>
      </c>
      <c r="B30" s="1" t="s">
        <v>148</v>
      </c>
      <c r="C30" s="13" t="s">
        <v>149</v>
      </c>
      <c r="D30" s="13"/>
      <c r="E30" s="33">
        <f>IFERROR(SUMIF(治具庫!A:A, A30, 治具庫!E:E), 0) + IFERROR(SUMIF(線上!A:A, A30, 線上!E:E), 0)</f>
        <v>34</v>
      </c>
      <c r="F30" s="61"/>
      <c r="G30" s="14"/>
      <c r="H30" s="15"/>
      <c r="I30" s="15"/>
    </row>
    <row r="31" spans="1:9" ht="15.75">
      <c r="A31" s="18">
        <v>315601052000</v>
      </c>
      <c r="B31" s="1" t="s">
        <v>151</v>
      </c>
      <c r="C31" s="13" t="s">
        <v>152</v>
      </c>
      <c r="D31" s="13"/>
      <c r="E31" s="33">
        <f>IFERROR(SUMIF(治具庫!A:A, A31, 治具庫!E:E), 0) + IFERROR(SUMIF(線上!A:A, A31, 線上!E:E), 0)</f>
        <v>12</v>
      </c>
      <c r="F31" s="61"/>
      <c r="G31" s="14"/>
      <c r="H31" s="15"/>
      <c r="I31" s="15"/>
    </row>
    <row r="32" spans="1:9" ht="15.75">
      <c r="A32" s="18">
        <v>315601040000</v>
      </c>
      <c r="B32" s="1" t="s">
        <v>154</v>
      </c>
      <c r="C32" s="13" t="s">
        <v>155</v>
      </c>
      <c r="D32" s="13"/>
      <c r="E32" s="33">
        <f>IFERROR(SUMIF(治具庫!A:A, A32, 治具庫!E:E), 0) + IFERROR(SUMIF(線上!A:A, A32, 線上!E:E), 0)</f>
        <v>107</v>
      </c>
      <c r="F32" s="61"/>
      <c r="G32" s="14"/>
      <c r="H32" s="15"/>
      <c r="I32" s="15"/>
    </row>
    <row r="33" spans="1:9" ht="15.75">
      <c r="A33" s="18">
        <v>315600660000</v>
      </c>
      <c r="B33" s="1" t="s">
        <v>34</v>
      </c>
      <c r="C33" s="13" t="s">
        <v>157</v>
      </c>
      <c r="D33" s="13"/>
      <c r="E33" s="33">
        <f>IFERROR(SUMIF(治具庫!A:A, A33, 治具庫!E:E), 0) + IFERROR(SUMIF(線上!A:A, A33, 線上!E:E), 0)</f>
        <v>24</v>
      </c>
      <c r="F33" s="61"/>
      <c r="G33" s="14"/>
      <c r="H33" s="15"/>
      <c r="I33" s="15"/>
    </row>
    <row r="34" spans="1:9" ht="15.75">
      <c r="A34" s="18">
        <v>315601026000</v>
      </c>
      <c r="B34" s="1" t="s">
        <v>158</v>
      </c>
      <c r="C34" s="13" t="s">
        <v>159</v>
      </c>
      <c r="D34" s="13"/>
      <c r="E34" s="33">
        <f>IFERROR(SUMIF(治具庫!A:A, A34, 治具庫!E:E), 0) + IFERROR(SUMIF(線上!A:A, A34, 線上!E:E), 0)</f>
        <v>21</v>
      </c>
      <c r="F34" s="61"/>
      <c r="G34" s="14"/>
      <c r="H34" s="15"/>
      <c r="I34" s="15"/>
    </row>
    <row r="35" spans="1:9" ht="15.75">
      <c r="A35" s="18">
        <v>315600742002</v>
      </c>
      <c r="B35" s="1" t="s">
        <v>160</v>
      </c>
      <c r="C35" s="13" t="s">
        <v>161</v>
      </c>
      <c r="D35" s="13"/>
      <c r="E35" s="33">
        <f>IFERROR(SUMIF(治具庫!A:A, A35, 治具庫!E:E), 0) + IFERROR(SUMIF(線上!A:A, A35, 線上!E:E), 0)</f>
        <v>144</v>
      </c>
      <c r="F35" s="61"/>
      <c r="G35" s="14"/>
      <c r="H35" s="15"/>
      <c r="I35" s="15"/>
    </row>
    <row r="36" spans="1:9" ht="15.75">
      <c r="A36" s="18">
        <v>315600732001</v>
      </c>
      <c r="B36" s="1" t="s">
        <v>163</v>
      </c>
      <c r="C36" s="13" t="s">
        <v>164</v>
      </c>
      <c r="D36" s="13"/>
      <c r="E36" s="33">
        <f>IFERROR(SUMIF(治具庫!A:A, A36, 治具庫!E:E), 0) + IFERROR(SUMIF(線上!A:A, A36, 線上!E:E), 0)</f>
        <v>34</v>
      </c>
      <c r="F36" s="61"/>
      <c r="G36" s="14"/>
      <c r="H36" s="15"/>
      <c r="I36" s="15"/>
    </row>
    <row r="37" spans="1:9" ht="15.75">
      <c r="A37" s="18">
        <v>319100050000</v>
      </c>
      <c r="B37" s="1" t="s">
        <v>165</v>
      </c>
      <c r="C37" s="13" t="s">
        <v>166</v>
      </c>
      <c r="D37" s="13"/>
      <c r="E37" s="33">
        <f>IFERROR(SUMIF(治具庫!A:A, A37, 治具庫!E:E), 0) + IFERROR(SUMIF(線上!A:A, A37, 線上!E:E), 0)</f>
        <v>20</v>
      </c>
      <c r="F37" s="61"/>
      <c r="G37" s="14"/>
      <c r="H37" s="15"/>
      <c r="I37" s="15"/>
    </row>
    <row r="38" spans="1:9" ht="15.75">
      <c r="A38" s="18">
        <v>315600635001</v>
      </c>
      <c r="B38" s="1" t="s">
        <v>167</v>
      </c>
      <c r="C38" s="13" t="s">
        <v>168</v>
      </c>
      <c r="D38" s="13"/>
      <c r="E38" s="33">
        <f>IFERROR(SUMIF(治具庫!A:A, A38, 治具庫!E:E), 0) + IFERROR(SUMIF(線上!A:A, A38, 線上!E:E), 0)</f>
        <v>219</v>
      </c>
      <c r="F38" s="61"/>
      <c r="G38" s="14"/>
      <c r="H38" s="15"/>
      <c r="I38" s="15"/>
    </row>
    <row r="39" spans="1:9" ht="15.75">
      <c r="A39" s="18">
        <v>315600637000</v>
      </c>
      <c r="B39" s="1" t="s">
        <v>170</v>
      </c>
      <c r="C39" s="13" t="s">
        <v>171</v>
      </c>
      <c r="D39" s="13"/>
      <c r="E39" s="33">
        <f>IFERROR(SUMIF(治具庫!A:A, A39, 治具庫!E:E), 0) + IFERROR(SUMIF(線上!A:A, A39, 線上!E:E), 0)</f>
        <v>104</v>
      </c>
      <c r="F39" s="61"/>
      <c r="G39" s="14"/>
      <c r="H39" s="15"/>
      <c r="I39" s="15"/>
    </row>
    <row r="40" spans="1:9" ht="15.75">
      <c r="A40" s="18">
        <v>990000000001</v>
      </c>
      <c r="B40" s="1" t="s">
        <v>174</v>
      </c>
      <c r="C40" s="13" t="s">
        <v>297</v>
      </c>
      <c r="D40" s="13"/>
      <c r="E40" s="33">
        <f>IFERROR(SUMIF(治具庫!A:A, A40, 治具庫!E:E), 0) + IFERROR(SUMIF(線上!A:A, A40, 線上!E:E), 0)</f>
        <v>100</v>
      </c>
      <c r="F40" s="61"/>
      <c r="G40" s="14"/>
      <c r="H40" s="15"/>
      <c r="I40" s="15"/>
    </row>
    <row r="41" spans="1:9" ht="16.149999999999999">
      <c r="A41" s="18">
        <v>990000000002</v>
      </c>
      <c r="B41" s="1" t="s">
        <v>178</v>
      </c>
      <c r="C41" s="30" t="s">
        <v>184</v>
      </c>
      <c r="D41" s="30"/>
      <c r="E41" s="33">
        <f>IFERROR(SUMIF(治具庫!A:A, A41, 治具庫!E:E), 0) + IFERROR(SUMIF(線上!A:A, A41, 線上!E:E), 0)</f>
        <v>10</v>
      </c>
      <c r="F41" s="61"/>
      <c r="G41" s="14"/>
      <c r="H41" s="15"/>
      <c r="I41" s="15"/>
    </row>
    <row r="42" spans="1:9" ht="15.75">
      <c r="A42" s="18">
        <v>315600998000</v>
      </c>
      <c r="B42" s="1" t="s">
        <v>154</v>
      </c>
      <c r="C42" s="13" t="s">
        <v>179</v>
      </c>
      <c r="D42" s="13"/>
      <c r="E42" s="33">
        <f>IFERROR(SUMIF(治具庫!A:A, A42, 治具庫!E:E), 0) + IFERROR(SUMIF(線上!A:A, A42, 線上!E:E), 0)</f>
        <v>61</v>
      </c>
      <c r="F42" s="61"/>
      <c r="G42" s="14"/>
      <c r="H42" s="15"/>
      <c r="I42" s="15"/>
    </row>
    <row r="43" spans="1:9" ht="15.75">
      <c r="A43" s="18">
        <v>315600218000</v>
      </c>
      <c r="B43" s="1" t="s">
        <v>181</v>
      </c>
      <c r="C43" s="13" t="s">
        <v>182</v>
      </c>
      <c r="D43" s="13"/>
      <c r="E43" s="33">
        <f>IFERROR(SUMIF(治具庫!A:A, A43, 治具庫!E:E), 0) + IFERROR(SUMIF(線上!A:A, A43, 線上!E:E), 0)</f>
        <v>21</v>
      </c>
      <c r="F43" s="61"/>
      <c r="G43" s="14"/>
      <c r="H43" s="15"/>
      <c r="I43" s="15"/>
    </row>
    <row r="44" spans="1:9" ht="15.75">
      <c r="A44" s="18">
        <v>315601016001</v>
      </c>
      <c r="B44" s="1" t="s">
        <v>186</v>
      </c>
      <c r="C44" s="13" t="s">
        <v>188</v>
      </c>
      <c r="D44" s="13"/>
      <c r="E44" s="33">
        <f>IFERROR(SUMIF(治具庫!A:A, A44, 治具庫!E:E), 0) + IFERROR(SUMIF(線上!A:A, A44, 線上!E:E), 0)</f>
        <v>50</v>
      </c>
      <c r="F44" s="61"/>
      <c r="G44" s="14"/>
      <c r="H44" s="15"/>
      <c r="I44" s="15"/>
    </row>
    <row r="45" spans="1:9" ht="15.75">
      <c r="A45" s="18">
        <v>990000000003</v>
      </c>
      <c r="B45" s="1" t="s">
        <v>223</v>
      </c>
      <c r="C45" s="13" t="s">
        <v>188</v>
      </c>
      <c r="D45" s="13"/>
      <c r="E45" s="33">
        <f>IFERROR(SUMIF(治具庫!A:A, A45, 治具庫!E:E), 0) + IFERROR(SUMIF(線上!A:A, A45, 線上!E:E), 0)</f>
        <v>12</v>
      </c>
      <c r="F45" s="61"/>
      <c r="G45" s="14"/>
      <c r="H45" s="15"/>
      <c r="I45" s="15"/>
    </row>
    <row r="46" spans="1:9" ht="15.75">
      <c r="A46" s="18">
        <v>319600045006</v>
      </c>
      <c r="B46" s="1" t="s">
        <v>192</v>
      </c>
      <c r="C46" s="13" t="s">
        <v>193</v>
      </c>
      <c r="D46" s="13"/>
      <c r="E46" s="33">
        <f>IFERROR(SUMIF(治具庫!A:A, A46, 治具庫!E:E), 0) + IFERROR(SUMIF(線上!A:A, A46, 線上!E:E), 0)</f>
        <v>234</v>
      </c>
      <c r="F46" s="61"/>
      <c r="G46" s="14"/>
      <c r="H46" s="15"/>
      <c r="I46" s="15"/>
    </row>
    <row r="47" spans="1:9" ht="15.75">
      <c r="A47" s="18">
        <v>990000000005</v>
      </c>
      <c r="B47" s="1" t="s">
        <v>199</v>
      </c>
      <c r="C47" s="13" t="s">
        <v>200</v>
      </c>
      <c r="D47" s="13"/>
      <c r="E47" s="33">
        <f>IFERROR(SUMIF(治具庫!A:A, A47, 治具庫!E:E), 0) + IFERROR(SUMIF(線上!A:A, A47, 線上!E:E), 0)</f>
        <v>5</v>
      </c>
      <c r="F47" s="61"/>
      <c r="G47" s="14"/>
      <c r="H47" s="15"/>
      <c r="I47" s="15"/>
    </row>
    <row r="48" spans="1:9" ht="15.75">
      <c r="A48" s="18">
        <v>315600715000</v>
      </c>
      <c r="B48" s="1" t="s">
        <v>201</v>
      </c>
      <c r="C48" s="13" t="s">
        <v>202</v>
      </c>
      <c r="D48" s="13"/>
      <c r="E48" s="33">
        <f>IFERROR(SUMIF(治具庫!A:A, A48, 治具庫!E:E), 0) + IFERROR(SUMIF(線上!A:A, A48, 線上!E:E), 0)</f>
        <v>126</v>
      </c>
      <c r="F48" s="61"/>
      <c r="G48" s="14"/>
      <c r="H48" s="15"/>
      <c r="I48" s="15"/>
    </row>
    <row r="49" spans="1:9" ht="15.75">
      <c r="A49" s="18">
        <v>319000066000</v>
      </c>
      <c r="B49" s="1" t="s">
        <v>204</v>
      </c>
      <c r="C49" s="13" t="s">
        <v>205</v>
      </c>
      <c r="D49" s="13"/>
      <c r="E49" s="33">
        <f>IFERROR(SUMIF(治具庫!A:A, A49, 治具庫!E:E), 0) + IFERROR(SUMIF(線上!A:A, A49, 線上!E:E), 0)</f>
        <v>9</v>
      </c>
      <c r="F49" s="61"/>
      <c r="G49" s="14"/>
      <c r="H49" s="15"/>
      <c r="I49" s="15"/>
    </row>
    <row r="50" spans="1:9" ht="15.75">
      <c r="A50" s="18">
        <v>315601039000</v>
      </c>
      <c r="B50" s="1" t="s">
        <v>209</v>
      </c>
      <c r="C50" s="13" t="s">
        <v>210</v>
      </c>
      <c r="D50" s="13"/>
      <c r="E50" s="33">
        <f>IFERROR(SUMIF(治具庫!A:A, A50, 治具庫!E:E), 0) + IFERROR(SUMIF(線上!A:A, A50, 線上!E:E), 0)</f>
        <v>103</v>
      </c>
      <c r="F50" s="61"/>
      <c r="G50" s="14"/>
      <c r="H50" s="15"/>
      <c r="I50" s="15"/>
    </row>
    <row r="51" spans="1:9" ht="15.75">
      <c r="A51" s="18">
        <v>315600849000</v>
      </c>
      <c r="B51" s="1" t="s">
        <v>211</v>
      </c>
      <c r="C51" s="13" t="s">
        <v>212</v>
      </c>
      <c r="D51" s="13"/>
      <c r="E51" s="33">
        <f>IFERROR(SUMIF(治具庫!A:A, A51, 治具庫!E:E), 0) + IFERROR(SUMIF(線上!A:A, A51, 線上!E:E), 0)</f>
        <v>71</v>
      </c>
      <c r="F51" s="61"/>
      <c r="G51" s="14"/>
      <c r="H51" s="15"/>
      <c r="I51" s="15"/>
    </row>
    <row r="52" spans="1:9" ht="15.75">
      <c r="A52" s="18">
        <v>315600737000</v>
      </c>
      <c r="B52" s="1" t="s">
        <v>214</v>
      </c>
      <c r="C52" s="13" t="s">
        <v>215</v>
      </c>
      <c r="D52" s="13"/>
      <c r="E52" s="33">
        <f>IFERROR(SUMIF(治具庫!A:A, A52, 治具庫!E:E), 0) + IFERROR(SUMIF(線上!A:A, A52, 線上!E:E), 0)</f>
        <v>43</v>
      </c>
      <c r="F52" s="61"/>
      <c r="G52" s="14"/>
      <c r="H52" s="15"/>
      <c r="I52" s="15"/>
    </row>
    <row r="53" spans="1:9" ht="15.75">
      <c r="A53" s="18">
        <v>315600954000</v>
      </c>
      <c r="B53" s="1" t="s">
        <v>217</v>
      </c>
      <c r="C53" s="13" t="s">
        <v>218</v>
      </c>
      <c r="D53" s="13"/>
      <c r="E53" s="33">
        <f>IFERROR(SUMIF(治具庫!A:A, A53, 治具庫!E:E), 0) + IFERROR(SUMIF(線上!A:A, A53, 線上!E:E), 0)</f>
        <v>1</v>
      </c>
      <c r="F53" s="61"/>
      <c r="G53" s="14"/>
      <c r="H53" s="15"/>
      <c r="I53" s="15"/>
    </row>
    <row r="54" spans="1:9" ht="15.75">
      <c r="A54" s="18">
        <v>315600831001</v>
      </c>
      <c r="B54" s="1" t="s">
        <v>220</v>
      </c>
      <c r="C54" s="13" t="s">
        <v>221</v>
      </c>
      <c r="D54" s="13"/>
      <c r="E54" s="33">
        <f>IFERROR(SUMIF(治具庫!A:A, A54, 治具庫!E:E), 0) + IFERROR(SUMIF(線上!A:A, A54, 線上!E:E), 0)</f>
        <v>15</v>
      </c>
      <c r="F54" s="61"/>
      <c r="G54" s="14"/>
      <c r="H54" s="15"/>
      <c r="I54" s="15"/>
    </row>
    <row r="55" spans="1:9" ht="15.75">
      <c r="A55" s="18">
        <v>315600797002</v>
      </c>
      <c r="B55" s="1" t="s">
        <v>226</v>
      </c>
      <c r="C55" s="13" t="s">
        <v>227</v>
      </c>
      <c r="D55" s="13"/>
      <c r="E55" s="33">
        <f>IFERROR(SUMIF(治具庫!A:A, A55, 治具庫!E:E), 0) + IFERROR(SUMIF(線上!A:A, A55, 線上!E:E), 0)</f>
        <v>38</v>
      </c>
      <c r="F55" s="61"/>
      <c r="G55" s="14"/>
      <c r="H55" s="15"/>
      <c r="I55" s="15"/>
    </row>
    <row r="56" spans="1:9" ht="15.75">
      <c r="A56" s="18">
        <v>315600974001</v>
      </c>
      <c r="B56" s="1" t="s">
        <v>229</v>
      </c>
      <c r="C56" s="13" t="s">
        <v>230</v>
      </c>
      <c r="D56" s="13"/>
      <c r="E56" s="33">
        <f>IFERROR(SUMIF(治具庫!A:A, A56, 治具庫!E:E), 0) + IFERROR(SUMIF(線上!A:A, A56, 線上!E:E), 0)</f>
        <v>13</v>
      </c>
      <c r="F56" s="61"/>
      <c r="G56" s="14"/>
      <c r="H56" s="15"/>
      <c r="I56" s="15"/>
    </row>
    <row r="57" spans="1:9" ht="15.75">
      <c r="A57" s="18">
        <v>319000077002</v>
      </c>
      <c r="B57" s="1" t="s">
        <v>232</v>
      </c>
      <c r="C57" s="13" t="s">
        <v>233</v>
      </c>
      <c r="D57" s="13"/>
      <c r="E57" s="33">
        <f>IFERROR(SUMIF(治具庫!A:A, A57, 治具庫!E:E), 0) + IFERROR(SUMIF(線上!A:A, A57, 線上!E:E), 0)</f>
        <v>3</v>
      </c>
      <c r="F57" s="61"/>
      <c r="G57" s="14"/>
      <c r="H57" s="15"/>
      <c r="I57" s="15"/>
    </row>
    <row r="58" spans="1:9" ht="15.75">
      <c r="A58" s="18">
        <v>315600381000</v>
      </c>
      <c r="B58" s="1" t="s">
        <v>235</v>
      </c>
      <c r="C58" s="13" t="s">
        <v>225</v>
      </c>
      <c r="D58" s="13"/>
      <c r="E58" s="33">
        <f>IFERROR(SUMIF(治具庫!A:A, A58, 治具庫!E:E), 0) + IFERROR(SUMIF(線上!A:A, A58, 線上!E:E), 0)</f>
        <v>363</v>
      </c>
      <c r="F58" s="61"/>
      <c r="G58" s="14"/>
      <c r="H58" s="15"/>
      <c r="I58" s="15"/>
    </row>
    <row r="59" spans="1:9" ht="15.75">
      <c r="A59" s="18">
        <v>315600859000</v>
      </c>
      <c r="B59" s="1" t="s">
        <v>236</v>
      </c>
      <c r="C59" s="13" t="s">
        <v>237</v>
      </c>
      <c r="D59" s="13"/>
      <c r="E59" s="33">
        <f>IFERROR(SUMIF(治具庫!A:A, A59, 治具庫!E:E), 0) + IFERROR(SUMIF(線上!A:A, A59, 線上!E:E), 0)</f>
        <v>96</v>
      </c>
      <c r="F59" s="33"/>
      <c r="G59" s="15"/>
      <c r="H59" s="15"/>
      <c r="I59" s="15"/>
    </row>
    <row r="60" spans="1:9" ht="15.75">
      <c r="A60" s="18">
        <v>990000000011</v>
      </c>
      <c r="B60" s="1" t="s">
        <v>327</v>
      </c>
      <c r="C60" s="13" t="s">
        <v>244</v>
      </c>
      <c r="D60" s="13"/>
      <c r="E60" s="33">
        <f>IFERROR(SUMIF(治具庫!A:A, A60, 治具庫!E:E), 0) + IFERROR(SUMIF(線上!A:A, A60, 線上!E:E), 0)</f>
        <v>200</v>
      </c>
      <c r="F60" s="61"/>
      <c r="G60" s="14"/>
      <c r="H60" s="15"/>
      <c r="I60" s="15"/>
    </row>
    <row r="61" spans="1:9" ht="15.75">
      <c r="A61" s="18">
        <v>990000000012</v>
      </c>
      <c r="B61" s="1" t="s">
        <v>245</v>
      </c>
      <c r="C61" s="13" t="s">
        <v>245</v>
      </c>
      <c r="D61" s="13"/>
      <c r="E61" s="33">
        <f>IFERROR(SUMIF(治具庫!A:A, A61, 治具庫!E:E), 0) + IFERROR(SUMIF(線上!A:A, A61, 線上!E:E), 0)</f>
        <v>35</v>
      </c>
      <c r="F61" s="61"/>
      <c r="G61" s="14"/>
      <c r="H61" s="15"/>
      <c r="I61" s="15"/>
    </row>
    <row r="62" spans="1:9" ht="15.75">
      <c r="A62" s="18">
        <v>319600063003</v>
      </c>
      <c r="B62" s="1" t="s">
        <v>247</v>
      </c>
      <c r="C62" s="13" t="s">
        <v>248</v>
      </c>
      <c r="D62" s="13"/>
      <c r="E62" s="33">
        <f>IFERROR(SUMIF(治具庫!A:A, A62, 治具庫!E:E), 0) + IFERROR(SUMIF(線上!A:A, A62, 線上!E:E), 0)</f>
        <v>362</v>
      </c>
      <c r="F62" s="61"/>
      <c r="G62" s="14"/>
      <c r="H62" s="15"/>
      <c r="I62" s="15"/>
    </row>
    <row r="63" spans="1:9" ht="15.75">
      <c r="A63" s="18">
        <v>990000000013</v>
      </c>
      <c r="B63" s="1" t="s">
        <v>250</v>
      </c>
      <c r="C63" s="13" t="s">
        <v>250</v>
      </c>
      <c r="D63" s="13"/>
      <c r="E63" s="33">
        <f>IFERROR(SUMIF(治具庫!A:A, A63, 治具庫!E:E), 0) + IFERROR(SUMIF(線上!A:A, A63, 線上!E:E), 0)</f>
        <v>700</v>
      </c>
      <c r="F63" s="61"/>
      <c r="G63" s="14"/>
      <c r="H63" s="15"/>
      <c r="I63" s="15"/>
    </row>
    <row r="64" spans="1:9" ht="15.75">
      <c r="A64" s="18">
        <v>980000000001</v>
      </c>
      <c r="B64" s="1" t="s">
        <v>253</v>
      </c>
      <c r="C64" s="13" t="s">
        <v>254</v>
      </c>
      <c r="D64" s="13"/>
      <c r="E64" s="33">
        <f>IFERROR(SUMIF(治具庫!A:A, A64, 治具庫!E:E), 0) + IFERROR(SUMIF(線上!A:A, A64, 線上!E:E), 0)</f>
        <v>40</v>
      </c>
      <c r="F64" s="61"/>
      <c r="G64" s="14"/>
      <c r="H64" s="15"/>
      <c r="I64" s="15"/>
    </row>
    <row r="65" spans="1:9" ht="15.75">
      <c r="A65" s="18">
        <v>990000000014</v>
      </c>
      <c r="B65" s="1" t="s">
        <v>255</v>
      </c>
      <c r="C65" s="13" t="s">
        <v>255</v>
      </c>
      <c r="D65" s="13"/>
      <c r="E65" s="33">
        <f>IFERROR(SUMIF(治具庫!A:A, A65, 治具庫!E:E), 0) + IFERROR(SUMIF(線上!A:A, A65, 線上!E:E), 0)</f>
        <v>40</v>
      </c>
      <c r="F65" s="61"/>
      <c r="G65" s="14"/>
      <c r="H65" s="15"/>
      <c r="I65" s="15"/>
    </row>
    <row r="66" spans="1:9" ht="15.75">
      <c r="A66" s="18">
        <v>990000000015</v>
      </c>
      <c r="B66" s="1" t="s">
        <v>258</v>
      </c>
      <c r="C66" s="13" t="s">
        <v>258</v>
      </c>
      <c r="D66" s="13"/>
      <c r="E66" s="33">
        <f>IFERROR(SUMIF(治具庫!A:A, A66, 治具庫!E:E), 0) + IFERROR(SUMIF(線上!A:A, A66, 線上!E:E), 0)</f>
        <v>40</v>
      </c>
      <c r="F66" s="61"/>
      <c r="G66" s="14"/>
      <c r="H66" s="15"/>
      <c r="I66" s="15"/>
    </row>
    <row r="67" spans="1:9" ht="15.75">
      <c r="A67" s="18">
        <v>990000000016</v>
      </c>
      <c r="B67" s="1" t="s">
        <v>259</v>
      </c>
      <c r="C67" s="13" t="s">
        <v>259</v>
      </c>
      <c r="D67" s="13"/>
      <c r="E67" s="33">
        <f>IFERROR(SUMIF(治具庫!A:A, A67, 治具庫!E:E), 0) + IFERROR(SUMIF(線上!A:A, A67, 線上!E:E), 0)</f>
        <v>40</v>
      </c>
      <c r="F67" s="61"/>
      <c r="G67" s="14"/>
      <c r="H67" s="15"/>
      <c r="I67" s="15"/>
    </row>
    <row r="68" spans="1:9" ht="15.75">
      <c r="A68" s="18">
        <v>990000000017</v>
      </c>
      <c r="B68" s="1" t="s">
        <v>261</v>
      </c>
      <c r="C68" s="13" t="s">
        <v>261</v>
      </c>
      <c r="D68" s="13"/>
      <c r="E68" s="33">
        <f>IFERROR(SUMIF(治具庫!A:A, A68, 治具庫!E:E), 0) + IFERROR(SUMIF(線上!A:A, A68, 線上!E:E), 0)</f>
        <v>0</v>
      </c>
      <c r="F68" s="61"/>
      <c r="G68" s="14"/>
      <c r="H68" s="15"/>
      <c r="I68" s="15"/>
    </row>
    <row r="69" spans="1:9" ht="15.75">
      <c r="A69" s="18">
        <v>990000000018</v>
      </c>
      <c r="B69" s="1" t="s">
        <v>245</v>
      </c>
      <c r="C69" s="13" t="s">
        <v>245</v>
      </c>
      <c r="D69" s="13"/>
      <c r="E69" s="33">
        <f>IFERROR(SUMIF(治具庫!A:A, A69, 治具庫!E:E), 0) + IFERROR(SUMIF(線上!A:A, A69, 線上!E:E), 0)</f>
        <v>28</v>
      </c>
      <c r="F69" s="61"/>
      <c r="G69" s="14"/>
      <c r="H69" s="15"/>
      <c r="I69" s="15"/>
    </row>
    <row r="70" spans="1:9" ht="15.75">
      <c r="A70" s="18">
        <v>990000000019</v>
      </c>
      <c r="B70" s="1" t="s">
        <v>250</v>
      </c>
      <c r="C70" s="13" t="s">
        <v>250</v>
      </c>
      <c r="D70" s="13"/>
      <c r="E70" s="33">
        <f>IFERROR(SUMIF(治具庫!A:A, A70, 治具庫!E:E), 0) + IFERROR(SUMIF(線上!A:A, A70, 線上!E:E), 0)</f>
        <v>700</v>
      </c>
      <c r="F70" s="61"/>
      <c r="G70" s="14"/>
      <c r="H70" s="15"/>
      <c r="I70" s="15"/>
    </row>
    <row r="71" spans="1:9" ht="15.75">
      <c r="A71" s="18">
        <v>315601095000</v>
      </c>
      <c r="B71" s="1" t="s">
        <v>266</v>
      </c>
      <c r="C71" s="13" t="s">
        <v>267</v>
      </c>
      <c r="D71" s="13"/>
      <c r="E71" s="33">
        <f>IFERROR(SUMIF(治具庫!A:A, A71, 治具庫!E:E), 0) + IFERROR(SUMIF(線上!A:A, A71, 線上!E:E), 0)</f>
        <v>0</v>
      </c>
      <c r="F71" s="61"/>
      <c r="G71" s="14"/>
      <c r="H71" s="15"/>
      <c r="I71" s="15"/>
    </row>
    <row r="72" spans="1:9" ht="15.75">
      <c r="A72" s="18">
        <v>311980085000</v>
      </c>
      <c r="B72" s="1" t="s">
        <v>270</v>
      </c>
      <c r="C72" s="13" t="s">
        <v>270</v>
      </c>
      <c r="D72" s="13"/>
      <c r="E72" s="33">
        <f>IFERROR(SUMIF(治具庫!A:A, A72, 治具庫!E:E), 0) + IFERROR(SUMIF(線上!A:A, A72, 線上!E:E), 0)</f>
        <v>100</v>
      </c>
      <c r="F72" s="61"/>
      <c r="G72" s="14"/>
      <c r="H72" s="15"/>
      <c r="I72" s="15"/>
    </row>
    <row r="73" spans="1:9" ht="15.75">
      <c r="A73" s="18">
        <v>315601097000</v>
      </c>
      <c r="B73" s="1" t="s">
        <v>271</v>
      </c>
      <c r="C73" s="13" t="s">
        <v>272</v>
      </c>
      <c r="D73" s="13"/>
      <c r="E73" s="33">
        <f>IFERROR(SUMIF(治具庫!A:A, A73, 治具庫!E:E), 0) + IFERROR(SUMIF(線上!A:A, A73, 線上!E:E), 0)</f>
        <v>30</v>
      </c>
      <c r="F73" s="61"/>
      <c r="G73" s="14"/>
      <c r="H73" s="15"/>
      <c r="I73" s="15"/>
    </row>
    <row r="74" spans="1:9" ht="15.75">
      <c r="A74" s="18">
        <v>311980086000</v>
      </c>
      <c r="B74" s="1" t="s">
        <v>275</v>
      </c>
      <c r="C74" s="13" t="s">
        <v>275</v>
      </c>
      <c r="D74" s="13"/>
      <c r="E74" s="33">
        <f>IFERROR(SUMIF(治具庫!A:A, A74, 治具庫!E:E), 0) + IFERROR(SUMIF(線上!A:A, A74, 線上!E:E), 0)</f>
        <v>100</v>
      </c>
      <c r="F74" s="61"/>
      <c r="G74" s="14"/>
      <c r="H74" s="15"/>
      <c r="I74" s="15"/>
    </row>
    <row r="75" spans="1:9" ht="15.75">
      <c r="A75" s="18">
        <v>990000000020</v>
      </c>
      <c r="B75" s="1" t="s">
        <v>277</v>
      </c>
      <c r="C75" s="13" t="s">
        <v>277</v>
      </c>
      <c r="D75" s="13"/>
      <c r="E75" s="33">
        <f>IFERROR(SUMIF(治具庫!A:A, A75, 治具庫!E:E), 0) + IFERROR(SUMIF(線上!A:A, A75, 線上!E:E), 0)</f>
        <v>18</v>
      </c>
      <c r="F75" s="61"/>
      <c r="G75" s="14"/>
      <c r="H75" s="15"/>
      <c r="I75" s="15"/>
    </row>
    <row r="76" spans="1:9" ht="15.75">
      <c r="A76" s="18">
        <v>990000000021</v>
      </c>
      <c r="B76" s="1" t="s">
        <v>278</v>
      </c>
      <c r="C76" s="13" t="s">
        <v>278</v>
      </c>
      <c r="D76" s="13"/>
      <c r="E76" s="33">
        <f>IFERROR(SUMIF(治具庫!A:A, A76, 治具庫!E:E), 0) + IFERROR(SUMIF(線上!A:A, A76, 線上!E:E), 0)</f>
        <v>0</v>
      </c>
      <c r="F76" s="61"/>
      <c r="G76" s="14"/>
      <c r="H76" s="15"/>
      <c r="I76" s="15"/>
    </row>
    <row r="77" spans="1:9" ht="15.75">
      <c r="A77" s="18">
        <v>311400007000</v>
      </c>
      <c r="B77" s="1" t="s">
        <v>280</v>
      </c>
      <c r="C77" s="13" t="s">
        <v>281</v>
      </c>
      <c r="D77" s="13"/>
      <c r="E77" s="33">
        <f>IFERROR(SUMIF(治具庫!A:A, A77, 治具庫!E:E), 0) + IFERROR(SUMIF(線上!A:A, A77, 線上!E:E), 0)</f>
        <v>0</v>
      </c>
      <c r="F77" s="61"/>
      <c r="G77" s="14"/>
      <c r="H77" s="15"/>
      <c r="I77" s="15"/>
    </row>
    <row r="78" spans="1:9" ht="15.75">
      <c r="A78" s="18">
        <v>990000000022</v>
      </c>
      <c r="B78" s="1" t="s">
        <v>284</v>
      </c>
      <c r="C78" s="13" t="s">
        <v>284</v>
      </c>
      <c r="D78" s="13"/>
      <c r="E78" s="33">
        <f>IFERROR(SUMIF(治具庫!A:A, A78, 治具庫!E:E), 0) + IFERROR(SUMIF(線上!A:A, A78, 線上!E:E), 0)</f>
        <v>0</v>
      </c>
      <c r="F78" s="61"/>
      <c r="G78" s="14"/>
      <c r="H78" s="15"/>
      <c r="I78" s="15"/>
    </row>
    <row r="79" spans="1:9" ht="15.75">
      <c r="A79" s="18">
        <v>990000000023</v>
      </c>
      <c r="B79" s="1" t="s">
        <v>278</v>
      </c>
      <c r="C79" s="13" t="s">
        <v>278</v>
      </c>
      <c r="D79" s="13"/>
      <c r="E79" s="33">
        <f>IFERROR(SUMIF(治具庫!A:A, A79, 治具庫!E:E), 0) + IFERROR(SUMIF(線上!A:A, A79, 線上!E:E), 0)</f>
        <v>0</v>
      </c>
      <c r="F79" s="61"/>
      <c r="G79" s="14"/>
      <c r="H79" s="15"/>
      <c r="I79" s="15"/>
    </row>
    <row r="80" spans="1:9" ht="15.75">
      <c r="A80" s="18">
        <v>10509006</v>
      </c>
      <c r="B80" s="1" t="s">
        <v>289</v>
      </c>
      <c r="C80" s="13" t="s">
        <v>290</v>
      </c>
      <c r="D80" s="13"/>
      <c r="E80" s="33">
        <f>IFERROR(SUMIF(治具庫!A:A, A80, 治具庫!E:E), 0) + IFERROR(SUMIF(線上!A:A, A80, 線上!E:E), 0)</f>
        <v>0</v>
      </c>
      <c r="F80" s="61"/>
      <c r="G80" s="14"/>
      <c r="H80" s="15"/>
      <c r="I80" s="15"/>
    </row>
    <row r="81" spans="1:9" ht="15.75">
      <c r="A81" s="18">
        <v>990000000024</v>
      </c>
      <c r="B81" s="1" t="s">
        <v>293</v>
      </c>
      <c r="C81" s="13" t="s">
        <v>293</v>
      </c>
      <c r="D81" s="13"/>
      <c r="E81" s="33">
        <f>IFERROR(SUMIF(治具庫!A:A, A81, 治具庫!E:E), 0) + IFERROR(SUMIF(線上!A:A, A81, 線上!E:E), 0)</f>
        <v>8</v>
      </c>
      <c r="F81" s="61"/>
      <c r="G81" s="14"/>
      <c r="H81" s="15"/>
      <c r="I81" s="15"/>
    </row>
    <row r="82" spans="1:9" ht="15.75">
      <c r="A82" s="18">
        <v>990000000025</v>
      </c>
      <c r="B82" s="1" t="s">
        <v>295</v>
      </c>
      <c r="C82" s="13" t="s">
        <v>295</v>
      </c>
      <c r="D82" s="13"/>
      <c r="E82" s="33">
        <f>IFERROR(SUMIF(治具庫!A:A, A82, 治具庫!E:E), 0) + IFERROR(SUMIF(線上!A:A, A82, 線上!E:E), 0)</f>
        <v>2</v>
      </c>
      <c r="F82" s="61"/>
      <c r="G82" s="14"/>
      <c r="H82" s="15"/>
      <c r="I82" s="15"/>
    </row>
    <row r="83" spans="1:9" ht="15.75">
      <c r="A83" s="18">
        <v>319600056004</v>
      </c>
      <c r="B83" s="1" t="s">
        <v>300</v>
      </c>
      <c r="C83" s="13" t="s">
        <v>301</v>
      </c>
      <c r="D83" s="13"/>
      <c r="E83" s="33">
        <f>IFERROR(SUMIF(治具庫!A:A, A83, 治具庫!E:E), 0) + IFERROR(SUMIF(線上!A:A, A83, 線上!E:E), 0)</f>
        <v>453</v>
      </c>
      <c r="F83" s="61"/>
      <c r="G83" s="14"/>
      <c r="H83" s="15"/>
      <c r="I83" s="15"/>
    </row>
    <row r="84" spans="1:9" ht="15.75">
      <c r="A84" s="18">
        <v>319600053004</v>
      </c>
      <c r="B84" s="1" t="s">
        <v>302</v>
      </c>
      <c r="C84" s="13" t="s">
        <v>303</v>
      </c>
      <c r="D84" s="13"/>
      <c r="E84" s="33">
        <f>IFERROR(SUMIF(治具庫!A:A, A84, 治具庫!E:E), 0) + IFERROR(SUMIF(線上!A:A, A84, 線上!E:E), 0)</f>
        <v>404</v>
      </c>
      <c r="F84" s="61"/>
      <c r="G84" s="14"/>
      <c r="H84" s="15"/>
      <c r="I84" s="15"/>
    </row>
    <row r="85" spans="1:9" ht="15.75">
      <c r="A85" s="18">
        <v>990000000026</v>
      </c>
      <c r="B85" s="1" t="s">
        <v>305</v>
      </c>
      <c r="C85" s="1" t="s">
        <v>305</v>
      </c>
      <c r="D85" s="1"/>
      <c r="E85" s="33">
        <f>IFERROR(SUMIF(治具庫!A:A, A85, 治具庫!E:E), 0) + IFERROR(SUMIF(線上!A:A, A85, 線上!E:E), 0)</f>
        <v>0</v>
      </c>
      <c r="F85" s="61"/>
      <c r="G85" s="14"/>
      <c r="H85" s="15"/>
      <c r="I85" s="15"/>
    </row>
    <row r="86" spans="1:9" ht="15.75">
      <c r="A86" s="18">
        <v>41000022</v>
      </c>
      <c r="B86" s="1" t="s">
        <v>307</v>
      </c>
      <c r="C86" s="13" t="s">
        <v>307</v>
      </c>
      <c r="D86" s="13"/>
      <c r="E86" s="33">
        <f>IFERROR(SUMIF(治具庫!A:A, A86, 治具庫!E:E), 0) + IFERROR(SUMIF(線上!A:A, A86, 線上!E:E), 0)</f>
        <v>0</v>
      </c>
      <c r="F86" s="61"/>
      <c r="G86" s="14"/>
      <c r="H86" s="15"/>
      <c r="I86" s="15"/>
    </row>
  </sheetData>
  <sheetProtection algorithmName="SHA-512" hashValue="Kn4cbWYKatFFIQR6t1iMNLuGMgQPH6i9gKpSCFEPFV67VDriQjJ5XLVQuOSCbpg6Z9MUQK+Ez/5Zmg95oUpNQg==" saltValue="Q74QnldkwXyEuhdJwOr7Fg==" spinCount="100000" sheet="1" objects="1" scenarios="1"/>
  <phoneticPr fontId="1" type="noConversion"/>
  <conditionalFormatting sqref="A1:A1048576">
    <cfRule type="duplicateValues" dxfId="81" priority="2"/>
  </conditionalFormatting>
  <conditionalFormatting sqref="G1:G58 G60:G1048576">
    <cfRule type="duplicateValues" dxfId="80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ECA9-0B1E-4770-A536-3A1D929EA6AA}">
  <sheetPr codeName="工作表2"/>
  <dimension ref="A1:I86"/>
  <sheetViews>
    <sheetView zoomScale="40" zoomScaleNormal="40" workbookViewId="0">
      <pane ySplit="1" topLeftCell="A33" activePane="bottomLeft" state="frozen"/>
      <selection activeCell="B27" sqref="B27"/>
      <selection pane="bottomLeft" activeCell="E75" sqref="E75"/>
    </sheetView>
  </sheetViews>
  <sheetFormatPr defaultColWidth="8.85546875" defaultRowHeight="14.25"/>
  <cols>
    <col min="1" max="1" width="18.7109375" style="64" bestFit="1" customWidth="1"/>
    <col min="2" max="2" width="152.5703125" style="65" bestFit="1" customWidth="1"/>
    <col min="3" max="3" width="123.0703125" style="63" bestFit="1" customWidth="1"/>
    <col min="4" max="4" width="11.140625" style="63" bestFit="1" customWidth="1"/>
    <col min="5" max="5" width="11.140625" style="66" bestFit="1" customWidth="1"/>
    <col min="6" max="6" width="7.7109375" style="66" bestFit="1" customWidth="1"/>
    <col min="7" max="7" width="8" style="63" bestFit="1" customWidth="1"/>
    <col min="8" max="8" width="14.0703125" style="63" bestFit="1" customWidth="1"/>
    <col min="9" max="9" width="7.7109375" style="63" bestFit="1" customWidth="1"/>
    <col min="10" max="16384" width="8.85546875" style="63"/>
  </cols>
  <sheetData>
    <row r="1" spans="1:9" ht="22.9">
      <c r="A1" s="17" t="s">
        <v>14</v>
      </c>
      <c r="B1" s="62" t="s">
        <v>329</v>
      </c>
      <c r="C1" s="62" t="s">
        <v>330</v>
      </c>
      <c r="D1" s="11" t="s">
        <v>4</v>
      </c>
      <c r="E1" s="11" t="s">
        <v>15</v>
      </c>
      <c r="F1" s="62" t="s">
        <v>12</v>
      </c>
      <c r="G1" s="12" t="s">
        <v>13</v>
      </c>
      <c r="H1" s="24" t="s">
        <v>331</v>
      </c>
      <c r="I1" s="24" t="s">
        <v>62</v>
      </c>
    </row>
    <row r="2" spans="1:9" ht="15.75">
      <c r="A2" s="18">
        <v>315600127001</v>
      </c>
      <c r="B2" s="1" t="s">
        <v>47</v>
      </c>
      <c r="C2" s="13" t="s">
        <v>46</v>
      </c>
      <c r="D2" s="13"/>
      <c r="E2" s="10">
        <f>SUMIFS(出入庫!F:F,出入庫!E:E,"入庫",出入庫!B:B,表格2[[#This Row],[料號]])-SUMIFS(出入庫!F:F,出入庫!E:E,"出庫",出入庫!B:B,表格2[[#This Row],[料號]])</f>
        <v>0</v>
      </c>
      <c r="F2" s="14"/>
      <c r="G2" s="14">
        <v>1</v>
      </c>
      <c r="H2" s="15"/>
      <c r="I2" s="23"/>
    </row>
    <row r="3" spans="1:9" ht="15.75">
      <c r="A3" s="18">
        <v>315600217001</v>
      </c>
      <c r="B3" s="1" t="s">
        <v>50</v>
      </c>
      <c r="C3" s="13" t="s">
        <v>51</v>
      </c>
      <c r="D3" s="13"/>
      <c r="E3" s="10">
        <f>SUMIFS(出入庫!F:F,出入庫!E:E,"入庫",出入庫!B:B,表格2[[#This Row],[料號]])-SUMIFS(出入庫!F:F,出入庫!E:E,"出庫",出入庫!B:B,表格2[[#This Row],[料號]])</f>
        <v>0</v>
      </c>
      <c r="F3" s="14"/>
      <c r="G3" s="14">
        <v>2</v>
      </c>
      <c r="H3" s="15"/>
      <c r="I3" s="23"/>
    </row>
    <row r="4" spans="1:9" ht="15.75">
      <c r="A4" s="18">
        <v>315600868001</v>
      </c>
      <c r="B4" s="1" t="s">
        <v>52</v>
      </c>
      <c r="C4" s="13" t="s">
        <v>53</v>
      </c>
      <c r="D4" s="13"/>
      <c r="E4" s="10">
        <f>SUMIFS(出入庫!F:F,出入庫!E:E,"入庫",出入庫!B:B,表格2[[#This Row],[料號]])-SUMIFS(出入庫!F:F,出入庫!E:E,"出庫",出入庫!B:B,表格2[[#This Row],[料號]])</f>
        <v>0</v>
      </c>
      <c r="F4" s="14"/>
      <c r="G4" s="14">
        <v>3</v>
      </c>
      <c r="H4" s="15"/>
      <c r="I4" s="23"/>
    </row>
    <row r="5" spans="1:9" ht="15.75">
      <c r="A5" s="18">
        <v>315600869000</v>
      </c>
      <c r="B5" s="1" t="s">
        <v>54</v>
      </c>
      <c r="C5" s="13" t="s">
        <v>55</v>
      </c>
      <c r="D5" s="13"/>
      <c r="E5" s="10">
        <f>SUMIFS(出入庫!F:F,出入庫!E:E,"入庫",出入庫!B:B,表格2[[#This Row],[料號]])-SUMIFS(出入庫!F:F,出入庫!E:E,"出庫",出入庫!B:B,表格2[[#This Row],[料號]])</f>
        <v>0</v>
      </c>
      <c r="F5" s="14"/>
      <c r="G5" s="14">
        <v>4</v>
      </c>
      <c r="H5" s="15"/>
      <c r="I5" s="23"/>
    </row>
    <row r="6" spans="1:9" ht="15.75">
      <c r="A6" s="18">
        <v>315601091000</v>
      </c>
      <c r="B6" s="1" t="s">
        <v>42</v>
      </c>
      <c r="C6" s="13" t="s">
        <v>43</v>
      </c>
      <c r="D6" s="13"/>
      <c r="E6" s="10">
        <f>SUMIFS(出入庫!F:F,出入庫!E:E,"入庫",出入庫!B:B,表格2[[#This Row],[料號]])-SUMIFS(出入庫!F:F,出入庫!E:E,"出庫",出入庫!B:B,表格2[[#This Row],[料號]])</f>
        <v>150</v>
      </c>
      <c r="F6" s="14"/>
      <c r="G6" s="14">
        <v>5</v>
      </c>
      <c r="H6" s="15"/>
      <c r="I6" s="23"/>
    </row>
    <row r="7" spans="1:9" ht="15.75">
      <c r="A7" s="18">
        <v>319100042008</v>
      </c>
      <c r="B7" s="1" t="s">
        <v>33</v>
      </c>
      <c r="C7" s="13" t="s">
        <v>56</v>
      </c>
      <c r="D7" s="13"/>
      <c r="E7" s="10">
        <f>SUMIFS(出入庫!F:F,出入庫!E:E,"入庫",出入庫!B:B,表格2[[#This Row],[料號]])-SUMIFS(出入庫!F:F,出入庫!E:E,"出庫",出入庫!B:B,表格2[[#This Row],[料號]])</f>
        <v>0</v>
      </c>
      <c r="F7" s="14"/>
      <c r="G7" s="14">
        <v>6</v>
      </c>
      <c r="H7" s="15"/>
      <c r="I7" s="23"/>
    </row>
    <row r="8" spans="1:9" ht="15.75">
      <c r="A8" s="18">
        <v>315600821003</v>
      </c>
      <c r="B8" s="1" t="s">
        <v>32</v>
      </c>
      <c r="C8" s="13" t="s">
        <v>58</v>
      </c>
      <c r="D8" s="13"/>
      <c r="E8" s="10">
        <f>SUMIFS(出入庫!F:F,出入庫!E:E,"入庫",出入庫!B:B,表格2[[#This Row],[料號]])-SUMIFS(出入庫!F:F,出入庫!E:E,"出庫",出入庫!B:B,表格2[[#This Row],[料號]])</f>
        <v>0</v>
      </c>
      <c r="F8" s="14"/>
      <c r="G8" s="14">
        <v>8</v>
      </c>
      <c r="H8" s="15"/>
      <c r="I8" s="23"/>
    </row>
    <row r="9" spans="1:9" ht="15.75">
      <c r="A9" s="18">
        <v>315600734000</v>
      </c>
      <c r="B9" s="1" t="s">
        <v>60</v>
      </c>
      <c r="C9" s="13" t="s">
        <v>61</v>
      </c>
      <c r="D9" s="13"/>
      <c r="E9" s="10">
        <f>SUMIFS(出入庫!F:F,出入庫!E:E,"入庫",出入庫!B:B,表格2[[#This Row],[料號]])-SUMIFS(出入庫!F:F,出入庫!E:E,"出庫",出入庫!B:B,表格2[[#This Row],[料號]])</f>
        <v>500</v>
      </c>
      <c r="F9" s="14"/>
      <c r="G9" s="14">
        <v>11</v>
      </c>
      <c r="H9" s="15"/>
      <c r="I9" s="15"/>
    </row>
    <row r="10" spans="1:9" ht="15.75">
      <c r="A10" s="18">
        <v>990000000004</v>
      </c>
      <c r="B10" s="1" t="s">
        <v>63</v>
      </c>
      <c r="C10" s="13" t="s">
        <v>64</v>
      </c>
      <c r="D10" s="13"/>
      <c r="E10" s="10">
        <f>SUMIFS(出入庫!F:F,出入庫!E:E,"入庫",出入庫!B:B,表格2[[#This Row],[料號]])-SUMIFS(出入庫!F:F,出入庫!E:E,"出庫",出入庫!B:B,表格2[[#This Row],[料號]])</f>
        <v>0</v>
      </c>
      <c r="F10" s="14"/>
      <c r="G10" s="14">
        <v>12</v>
      </c>
      <c r="H10" s="15"/>
      <c r="I10" s="15"/>
    </row>
    <row r="11" spans="1:9" ht="15.75">
      <c r="A11" s="18">
        <v>315600602000</v>
      </c>
      <c r="B11" s="1" t="s">
        <v>65</v>
      </c>
      <c r="C11" s="13" t="s">
        <v>66</v>
      </c>
      <c r="D11" s="13"/>
      <c r="E11" s="10">
        <f>SUMIFS(出入庫!F:F,出入庫!E:E,"入庫",出入庫!B:B,表格2[[#This Row],[料號]])-SUMIFS(出入庫!F:F,出入庫!E:E,"出庫",出入庫!B:B,表格2[[#This Row],[料號]])</f>
        <v>0</v>
      </c>
      <c r="F11" s="14"/>
      <c r="G11" s="14">
        <v>13</v>
      </c>
      <c r="H11" s="15"/>
      <c r="I11" s="15"/>
    </row>
    <row r="12" spans="1:9" ht="15.75">
      <c r="A12" s="18">
        <v>315600716001</v>
      </c>
      <c r="B12" s="1" t="s">
        <v>67</v>
      </c>
      <c r="C12" s="13" t="s">
        <v>68</v>
      </c>
      <c r="D12" s="13"/>
      <c r="E12" s="10">
        <f>SUMIFS(出入庫!F:F,出入庫!E:E,"入庫",出入庫!B:B,表格2[[#This Row],[料號]])-SUMIFS(出入庫!F:F,出入庫!E:E,"出庫",出入庫!B:B,表格2[[#This Row],[料號]])</f>
        <v>0</v>
      </c>
      <c r="F12" s="14"/>
      <c r="G12" s="14">
        <v>14</v>
      </c>
      <c r="H12" s="15"/>
      <c r="I12" s="15"/>
    </row>
    <row r="13" spans="1:9" ht="16.149999999999999">
      <c r="A13" s="18">
        <v>315600850000</v>
      </c>
      <c r="B13" s="1" t="s">
        <v>88</v>
      </c>
      <c r="C13" s="13" t="s">
        <v>90</v>
      </c>
      <c r="D13" s="13"/>
      <c r="E13" s="10">
        <f>SUMIFS(出入庫!F:F,出入庫!E:E,"入庫",出入庫!B:B,表格2[[#This Row],[料號]])-SUMIFS(出入庫!F:F,出入庫!E:E,"出庫",出入庫!B:B,表格2[[#This Row],[料號]])</f>
        <v>0</v>
      </c>
      <c r="F13" s="14"/>
      <c r="G13" s="14">
        <v>15</v>
      </c>
      <c r="H13" s="15"/>
      <c r="I13" s="15"/>
    </row>
    <row r="14" spans="1:9" ht="15.75">
      <c r="A14" s="18">
        <v>315600771000</v>
      </c>
      <c r="B14" s="1" t="s">
        <v>91</v>
      </c>
      <c r="C14" s="13" t="s">
        <v>92</v>
      </c>
      <c r="D14" s="13"/>
      <c r="E14" s="10">
        <f>SUMIFS(出入庫!F:F,出入庫!E:E,"入庫",出入庫!B:B,表格2[[#This Row],[料號]])-SUMIFS(出入庫!F:F,出入庫!E:E,"出庫",出入庫!B:B,表格2[[#This Row],[料號]])</f>
        <v>0</v>
      </c>
      <c r="F14" s="14"/>
      <c r="G14" s="14">
        <v>16</v>
      </c>
      <c r="H14" s="15"/>
      <c r="I14" s="15"/>
    </row>
    <row r="15" spans="1:9" ht="15.75">
      <c r="A15" s="18">
        <v>299900092003</v>
      </c>
      <c r="B15" s="1" t="s">
        <v>96</v>
      </c>
      <c r="C15" s="13" t="s">
        <v>97</v>
      </c>
      <c r="D15" s="13"/>
      <c r="E15" s="10">
        <f>SUMIFS(出入庫!F:F,出入庫!E:E,"入庫",出入庫!B:B,表格2[[#This Row],[料號]])-SUMIFS(出入庫!F:F,出入庫!E:E,"出庫",出入庫!B:B,表格2[[#This Row],[料號]])</f>
        <v>0</v>
      </c>
      <c r="F15" s="14"/>
      <c r="G15" s="14">
        <v>17</v>
      </c>
      <c r="H15" s="15"/>
      <c r="I15" s="15"/>
    </row>
    <row r="16" spans="1:9" ht="15.75">
      <c r="A16" s="18">
        <v>315600881002</v>
      </c>
      <c r="B16" s="1" t="s">
        <v>99</v>
      </c>
      <c r="C16" s="13" t="s">
        <v>100</v>
      </c>
      <c r="D16" s="13"/>
      <c r="E16" s="10">
        <f>SUMIFS(出入庫!F:F,出入庫!E:E,"入庫",出入庫!B:B,表格2[[#This Row],[料號]])-SUMIFS(出入庫!F:F,出入庫!E:E,"出庫",出入庫!B:B,表格2[[#This Row],[料號]])</f>
        <v>0</v>
      </c>
      <c r="F16" s="14"/>
      <c r="G16" s="14">
        <v>18</v>
      </c>
      <c r="H16" s="15"/>
      <c r="I16" s="15"/>
    </row>
    <row r="17" spans="1:9" ht="15.75">
      <c r="A17" s="18">
        <v>315600917002</v>
      </c>
      <c r="B17" s="1" t="s">
        <v>102</v>
      </c>
      <c r="C17" s="13" t="s">
        <v>103</v>
      </c>
      <c r="D17" s="13"/>
      <c r="E17" s="10">
        <f>SUMIFS(出入庫!F:F,出入庫!E:E,"入庫",出入庫!B:B,表格2[[#This Row],[料號]])-SUMIFS(出入庫!F:F,出入庫!E:E,"出庫",出入庫!B:B,表格2[[#This Row],[料號]])</f>
        <v>0</v>
      </c>
      <c r="F17" s="14"/>
      <c r="G17" s="14">
        <v>19</v>
      </c>
      <c r="H17" s="15"/>
      <c r="I17" s="15"/>
    </row>
    <row r="18" spans="1:9" ht="15.75">
      <c r="A18" s="18">
        <v>990000000006</v>
      </c>
      <c r="B18" s="1" t="s">
        <v>106</v>
      </c>
      <c r="C18" s="13" t="s">
        <v>107</v>
      </c>
      <c r="D18" s="13"/>
      <c r="E18" s="10">
        <f>SUMIFS(出入庫!F:F,出入庫!E:E,"入庫",出入庫!B:B,表格2[[#This Row],[料號]])-SUMIFS(出入庫!F:F,出入庫!E:E,"出庫",出入庫!B:B,表格2[[#This Row],[料號]])</f>
        <v>0</v>
      </c>
      <c r="F18" s="14"/>
      <c r="G18" s="14">
        <v>21</v>
      </c>
      <c r="H18" s="15"/>
      <c r="I18" s="15"/>
    </row>
    <row r="19" spans="1:9" ht="15.75">
      <c r="A19" s="18">
        <v>990000000007</v>
      </c>
      <c r="B19" s="1" t="s">
        <v>115</v>
      </c>
      <c r="C19" s="13" t="s">
        <v>115</v>
      </c>
      <c r="D19" s="13"/>
      <c r="E19" s="10">
        <f>SUMIFS(出入庫!F:F,出入庫!E:E,"入庫",出入庫!B:B,表格2[[#This Row],[料號]])-SUMIFS(出入庫!F:F,出入庫!E:E,"出庫",出入庫!B:B,表格2[[#This Row],[料號]])</f>
        <v>0</v>
      </c>
      <c r="F19" s="14"/>
      <c r="G19" s="14">
        <v>22</v>
      </c>
      <c r="H19" s="15"/>
      <c r="I19" s="15"/>
    </row>
    <row r="20" spans="1:9" ht="15.75">
      <c r="A20" s="18">
        <v>315600895002</v>
      </c>
      <c r="B20" s="1" t="s">
        <v>116</v>
      </c>
      <c r="C20" s="13" t="s">
        <v>117</v>
      </c>
      <c r="D20" s="13"/>
      <c r="E20" s="10">
        <f>SUMIFS(出入庫!F:F,出入庫!E:E,"入庫",出入庫!B:B,表格2[[#This Row],[料號]])-SUMIFS(出入庫!F:F,出入庫!E:E,"出庫",出入庫!B:B,表格2[[#This Row],[料號]])</f>
        <v>0</v>
      </c>
      <c r="F20" s="14"/>
      <c r="G20" s="14">
        <v>23</v>
      </c>
      <c r="H20" s="15"/>
      <c r="I20" s="15"/>
    </row>
    <row r="21" spans="1:9" ht="15.75">
      <c r="A21" s="18">
        <v>990000000008</v>
      </c>
      <c r="B21" s="1" t="s">
        <v>120</v>
      </c>
      <c r="C21" s="13" t="s">
        <v>121</v>
      </c>
      <c r="D21" s="13"/>
      <c r="E21" s="10">
        <f>SUMIFS(出入庫!F:F,出入庫!E:E,"入庫",出入庫!B:B,表格2[[#This Row],[料號]])-SUMIFS(出入庫!F:F,出入庫!E:E,"出庫",出入庫!B:B,表格2[[#This Row],[料號]])</f>
        <v>0</v>
      </c>
      <c r="F21" s="14"/>
      <c r="G21" s="14">
        <v>24</v>
      </c>
      <c r="H21" s="15"/>
      <c r="I21" s="15"/>
    </row>
    <row r="22" spans="1:9" ht="15.75">
      <c r="A22" s="18">
        <v>990000000009</v>
      </c>
      <c r="B22" s="1" t="s">
        <v>123</v>
      </c>
      <c r="C22" s="13" t="s">
        <v>123</v>
      </c>
      <c r="D22" s="13"/>
      <c r="E22" s="10">
        <f>SUMIFS(出入庫!F:F,出入庫!E:E,"入庫",出入庫!B:B,表格2[[#This Row],[料號]])-SUMIFS(出入庫!F:F,出入庫!E:E,"出庫",出入庫!B:B,表格2[[#This Row],[料號]])</f>
        <v>0</v>
      </c>
      <c r="F22" s="14"/>
      <c r="G22" s="14">
        <v>25</v>
      </c>
      <c r="H22" s="15"/>
      <c r="I22" s="15"/>
    </row>
    <row r="23" spans="1:9" ht="15.75">
      <c r="A23" s="18">
        <v>315600735000</v>
      </c>
      <c r="B23" s="1" t="s">
        <v>124</v>
      </c>
      <c r="C23" s="13" t="s">
        <v>125</v>
      </c>
      <c r="D23" s="13"/>
      <c r="E23" s="10">
        <f>SUMIFS(出入庫!F:F,出入庫!E:E,"入庫",出入庫!B:B,表格2[[#This Row],[料號]])-SUMIFS(出入庫!F:F,出入庫!E:E,"出庫",出入庫!B:B,表格2[[#This Row],[料號]])</f>
        <v>0</v>
      </c>
      <c r="F23" s="14"/>
      <c r="G23" s="14">
        <v>26</v>
      </c>
      <c r="H23" s="15"/>
      <c r="I23" s="15"/>
    </row>
    <row r="24" spans="1:9" ht="15.75">
      <c r="A24" s="18">
        <v>990000000010</v>
      </c>
      <c r="B24" s="1" t="s">
        <v>128</v>
      </c>
      <c r="C24" s="13" t="s">
        <v>128</v>
      </c>
      <c r="D24" s="13"/>
      <c r="E24" s="10">
        <f>SUMIFS(出入庫!F:F,出入庫!E:E,"入庫",出入庫!B:B,表格2[[#This Row],[料號]])-SUMIFS(出入庫!F:F,出入庫!E:E,"出庫",出入庫!B:B,表格2[[#This Row],[料號]])</f>
        <v>0</v>
      </c>
      <c r="F24" s="14"/>
      <c r="G24" s="14">
        <v>27</v>
      </c>
      <c r="H24" s="15"/>
      <c r="I24" s="15"/>
    </row>
    <row r="25" spans="1:9" ht="15.75">
      <c r="A25" s="18">
        <v>315600794000</v>
      </c>
      <c r="B25" s="1" t="s">
        <v>134</v>
      </c>
      <c r="C25" s="13" t="s">
        <v>135</v>
      </c>
      <c r="D25" s="13"/>
      <c r="E25" s="10">
        <f>SUMIFS(出入庫!F:F,出入庫!E:E,"入庫",出入庫!B:B,表格2[[#This Row],[料號]])-SUMIFS(出入庫!F:F,出入庫!E:E,"出庫",出入庫!B:B,表格2[[#This Row],[料號]])</f>
        <v>0</v>
      </c>
      <c r="F25" s="14"/>
      <c r="G25" s="14">
        <v>28</v>
      </c>
      <c r="H25" s="15"/>
      <c r="I25" s="15"/>
    </row>
    <row r="26" spans="1:9" ht="15.75">
      <c r="A26" s="18">
        <v>319600038005</v>
      </c>
      <c r="B26" s="1" t="s">
        <v>136</v>
      </c>
      <c r="C26" s="13" t="s">
        <v>137</v>
      </c>
      <c r="D26" s="13"/>
      <c r="E26" s="10">
        <f>SUMIFS(出入庫!F:F,出入庫!E:E,"入庫",出入庫!B:B,表格2[[#This Row],[料號]])-SUMIFS(出入庫!F:F,出入庫!E:E,"出庫",出入庫!B:B,表格2[[#This Row],[料號]])</f>
        <v>0</v>
      </c>
      <c r="F26" s="14"/>
      <c r="G26" s="14">
        <v>29</v>
      </c>
      <c r="H26" s="15"/>
      <c r="I26" s="15"/>
    </row>
    <row r="27" spans="1:9" ht="15.75">
      <c r="A27" s="18">
        <v>319000056004</v>
      </c>
      <c r="B27" s="1" t="s">
        <v>139</v>
      </c>
      <c r="C27" s="13" t="s">
        <v>140</v>
      </c>
      <c r="D27" s="13"/>
      <c r="E27" s="10">
        <f>SUMIFS(出入庫!F:F,出入庫!E:E,"入庫",出入庫!B:B,表格2[[#This Row],[料號]])-SUMIFS(出入庫!F:F,出入庫!E:E,"出庫",出入庫!B:B,表格2[[#This Row],[料號]])</f>
        <v>0</v>
      </c>
      <c r="F27" s="14"/>
      <c r="G27" s="14">
        <v>30</v>
      </c>
      <c r="H27" s="15"/>
      <c r="I27" s="15"/>
    </row>
    <row r="28" spans="1:9" ht="15.75">
      <c r="A28" s="18">
        <v>315600415000</v>
      </c>
      <c r="B28" s="1" t="s">
        <v>142</v>
      </c>
      <c r="C28" s="13" t="s">
        <v>143</v>
      </c>
      <c r="D28" s="13"/>
      <c r="E28" s="10">
        <f>SUMIFS(出入庫!F:F,出入庫!E:E,"入庫",出入庫!B:B,表格2[[#This Row],[料號]])-SUMIFS(出入庫!F:F,出入庫!E:E,"出庫",出入庫!B:B,表格2[[#This Row],[料號]])</f>
        <v>0</v>
      </c>
      <c r="F28" s="14"/>
      <c r="G28" s="14">
        <v>31</v>
      </c>
      <c r="H28" s="15"/>
      <c r="I28" s="15"/>
    </row>
    <row r="29" spans="1:9" ht="15.75">
      <c r="A29" s="18">
        <v>319100057001</v>
      </c>
      <c r="B29" s="1" t="s">
        <v>145</v>
      </c>
      <c r="C29" s="13" t="s">
        <v>146</v>
      </c>
      <c r="D29" s="13"/>
      <c r="E29" s="10">
        <f>SUMIFS(出入庫!F:F,出入庫!E:E,"入庫",出入庫!B:B,表格2[[#This Row],[料號]])-SUMIFS(出入庫!F:F,出入庫!E:E,"出庫",出入庫!B:B,表格2[[#This Row],[料號]])</f>
        <v>0</v>
      </c>
      <c r="F29" s="14"/>
      <c r="G29" s="14">
        <v>32</v>
      </c>
      <c r="H29" s="15"/>
      <c r="I29" s="15"/>
    </row>
    <row r="30" spans="1:9" ht="15.75">
      <c r="A30" s="18">
        <v>315601033002</v>
      </c>
      <c r="B30" s="1" t="s">
        <v>148</v>
      </c>
      <c r="C30" s="13" t="s">
        <v>149</v>
      </c>
      <c r="D30" s="13"/>
      <c r="E30" s="10">
        <f>SUMIFS(出入庫!F:F,出入庫!E:E,"入庫",出入庫!B:B,表格2[[#This Row],[料號]])-SUMIFS(出入庫!F:F,出入庫!E:E,"出庫",出入庫!B:B,表格2[[#This Row],[料號]])</f>
        <v>0</v>
      </c>
      <c r="F30" s="14"/>
      <c r="G30" s="14">
        <v>33</v>
      </c>
      <c r="H30" s="15"/>
      <c r="I30" s="15"/>
    </row>
    <row r="31" spans="1:9" ht="15.75">
      <c r="A31" s="18">
        <v>315601052000</v>
      </c>
      <c r="B31" s="1" t="s">
        <v>151</v>
      </c>
      <c r="C31" s="13" t="s">
        <v>152</v>
      </c>
      <c r="D31" s="13"/>
      <c r="E31" s="10">
        <f>SUMIFS(出入庫!F:F,出入庫!E:E,"入庫",出入庫!B:B,表格2[[#This Row],[料號]])-SUMIFS(出入庫!F:F,出入庫!E:E,"出庫",出入庫!B:B,表格2[[#This Row],[料號]])</f>
        <v>0</v>
      </c>
      <c r="F31" s="14"/>
      <c r="G31" s="14">
        <v>34</v>
      </c>
      <c r="H31" s="15"/>
      <c r="I31" s="15"/>
    </row>
    <row r="32" spans="1:9" ht="15.75">
      <c r="A32" s="18">
        <v>315601040000</v>
      </c>
      <c r="B32" s="1" t="s">
        <v>154</v>
      </c>
      <c r="C32" s="13" t="s">
        <v>155</v>
      </c>
      <c r="D32" s="13"/>
      <c r="E32" s="10">
        <f>SUMIFS(出入庫!F:F,出入庫!E:E,"入庫",出入庫!B:B,表格2[[#This Row],[料號]])-SUMIFS(出入庫!F:F,出入庫!E:E,"出庫",出入庫!B:B,表格2[[#This Row],[料號]])</f>
        <v>0</v>
      </c>
      <c r="F32" s="14"/>
      <c r="G32" s="14">
        <v>35</v>
      </c>
      <c r="H32" s="15"/>
      <c r="I32" s="15"/>
    </row>
    <row r="33" spans="1:9" ht="15.75">
      <c r="A33" s="18">
        <v>315600660000</v>
      </c>
      <c r="B33" s="1" t="s">
        <v>34</v>
      </c>
      <c r="C33" s="13" t="s">
        <v>157</v>
      </c>
      <c r="D33" s="13"/>
      <c r="E33" s="10">
        <f>SUMIFS(出入庫!F:F,出入庫!E:E,"入庫",出入庫!B:B,表格2[[#This Row],[料號]])-SUMIFS(出入庫!F:F,出入庫!E:E,"出庫",出入庫!B:B,表格2[[#This Row],[料號]])</f>
        <v>0</v>
      </c>
      <c r="F33" s="14"/>
      <c r="G33" s="14">
        <v>9</v>
      </c>
      <c r="H33" s="15"/>
      <c r="I33" s="15"/>
    </row>
    <row r="34" spans="1:9" ht="15.75">
      <c r="A34" s="18">
        <v>315601026000</v>
      </c>
      <c r="B34" s="1" t="s">
        <v>158</v>
      </c>
      <c r="C34" s="13" t="s">
        <v>159</v>
      </c>
      <c r="D34" s="13"/>
      <c r="E34" s="10">
        <f>SUMIFS(出入庫!F:F,出入庫!E:E,"入庫",出入庫!B:B,表格2[[#This Row],[料號]])-SUMIFS(出入庫!F:F,出入庫!E:E,"出庫",出入庫!B:B,表格2[[#This Row],[料號]])</f>
        <v>0</v>
      </c>
      <c r="F34" s="14"/>
      <c r="G34" s="14">
        <v>10</v>
      </c>
      <c r="H34" s="15"/>
      <c r="I34" s="15"/>
    </row>
    <row r="35" spans="1:9" ht="15.75">
      <c r="A35" s="18">
        <v>315600742002</v>
      </c>
      <c r="B35" s="1" t="s">
        <v>160</v>
      </c>
      <c r="C35" s="13" t="s">
        <v>161</v>
      </c>
      <c r="D35" s="13"/>
      <c r="E35" s="10">
        <f>SUMIFS(出入庫!F:F,出入庫!E:E,"入庫",出入庫!B:B,表格2[[#This Row],[料號]])-SUMIFS(出入庫!F:F,出入庫!E:E,"出庫",出入庫!B:B,表格2[[#This Row],[料號]])</f>
        <v>0</v>
      </c>
      <c r="F35" s="14"/>
      <c r="G35" s="14">
        <v>36</v>
      </c>
      <c r="H35" s="15"/>
      <c r="I35" s="15"/>
    </row>
    <row r="36" spans="1:9" ht="15.75">
      <c r="A36" s="18">
        <v>315600732001</v>
      </c>
      <c r="B36" s="1" t="s">
        <v>163</v>
      </c>
      <c r="C36" s="13" t="s">
        <v>164</v>
      </c>
      <c r="D36" s="13"/>
      <c r="E36" s="10">
        <f>SUMIFS(出入庫!F:F,出入庫!E:E,"入庫",出入庫!B:B,表格2[[#This Row],[料號]])-SUMIFS(出入庫!F:F,出入庫!E:E,"出庫",出入庫!B:B,表格2[[#This Row],[料號]])</f>
        <v>0</v>
      </c>
      <c r="F36" s="14"/>
      <c r="G36" s="14">
        <v>7</v>
      </c>
      <c r="H36" s="15"/>
      <c r="I36" s="15"/>
    </row>
    <row r="37" spans="1:9" ht="15.75">
      <c r="A37" s="18">
        <v>319100050000</v>
      </c>
      <c r="B37" s="1" t="s">
        <v>165</v>
      </c>
      <c r="C37" s="13" t="s">
        <v>166</v>
      </c>
      <c r="D37" s="13"/>
      <c r="E37" s="10">
        <f>SUMIFS(出入庫!F:F,出入庫!E:E,"入庫",出入庫!B:B,表格2[[#This Row],[料號]])-SUMIFS(出入庫!F:F,出入庫!E:E,"出庫",出入庫!B:B,表格2[[#This Row],[料號]])</f>
        <v>0</v>
      </c>
      <c r="F37" s="14"/>
      <c r="G37" s="14">
        <v>20</v>
      </c>
      <c r="H37" s="15"/>
      <c r="I37" s="15"/>
    </row>
    <row r="38" spans="1:9" ht="15.75">
      <c r="A38" s="18">
        <v>315600635001</v>
      </c>
      <c r="B38" s="1" t="s">
        <v>167</v>
      </c>
      <c r="C38" s="13" t="s">
        <v>168</v>
      </c>
      <c r="D38" s="13"/>
      <c r="E38" s="10">
        <f>SUMIFS(出入庫!F:F,出入庫!E:E,"入庫",出入庫!B:B,表格2[[#This Row],[料號]])-SUMIFS(出入庫!F:F,出入庫!E:E,"出庫",出入庫!B:B,表格2[[#This Row],[料號]])</f>
        <v>0</v>
      </c>
      <c r="F38" s="14"/>
      <c r="G38" s="14">
        <v>37</v>
      </c>
      <c r="H38" s="15"/>
      <c r="I38" s="15"/>
    </row>
    <row r="39" spans="1:9" ht="15.75">
      <c r="A39" s="18">
        <v>315600637000</v>
      </c>
      <c r="B39" s="1" t="s">
        <v>170</v>
      </c>
      <c r="C39" s="13" t="s">
        <v>171</v>
      </c>
      <c r="D39" s="13"/>
      <c r="E39" s="10">
        <f>SUMIFS(出入庫!F:F,出入庫!E:E,"入庫",出入庫!B:B,表格2[[#This Row],[料號]])-SUMIFS(出入庫!F:F,出入庫!E:E,"出庫",出入庫!B:B,表格2[[#This Row],[料號]])</f>
        <v>0</v>
      </c>
      <c r="F39" s="14"/>
      <c r="G39" s="14">
        <v>38</v>
      </c>
      <c r="H39" s="15"/>
      <c r="I39" s="15"/>
    </row>
    <row r="40" spans="1:9" ht="15.75">
      <c r="A40" s="18">
        <v>990000000001</v>
      </c>
      <c r="B40" s="1" t="s">
        <v>174</v>
      </c>
      <c r="C40" s="13" t="s">
        <v>297</v>
      </c>
      <c r="D40" s="13"/>
      <c r="E40" s="10">
        <f>SUMIFS(出入庫!F:F,出入庫!E:E,"入庫",出入庫!B:B,表格2[[#This Row],[料號]])-SUMIFS(出入庫!F:F,出入庫!E:E,"出庫",出入庫!B:B,表格2[[#This Row],[料號]])</f>
        <v>0</v>
      </c>
      <c r="F40" s="14"/>
      <c r="G40" s="14">
        <v>39</v>
      </c>
      <c r="H40" s="15"/>
      <c r="I40" s="15"/>
    </row>
    <row r="41" spans="1:9" ht="16.149999999999999">
      <c r="A41" s="18">
        <v>990000000002</v>
      </c>
      <c r="B41" s="1" t="s">
        <v>178</v>
      </c>
      <c r="C41" s="13" t="s">
        <v>332</v>
      </c>
      <c r="D41" s="13"/>
      <c r="E41" s="10">
        <f>SUMIFS(出入庫!F:F,出入庫!E:E,"入庫",出入庫!B:B,表格2[[#This Row],[料號]])-SUMIFS(出入庫!F:F,出入庫!E:E,"出庫",出入庫!B:B,表格2[[#This Row],[料號]])</f>
        <v>0</v>
      </c>
      <c r="F41" s="14"/>
      <c r="G41" s="14">
        <v>40</v>
      </c>
      <c r="H41" s="15"/>
      <c r="I41" s="15"/>
    </row>
    <row r="42" spans="1:9" ht="15.75">
      <c r="A42" s="18">
        <v>315600998000</v>
      </c>
      <c r="B42" s="1" t="s">
        <v>154</v>
      </c>
      <c r="C42" s="13" t="s">
        <v>179</v>
      </c>
      <c r="D42" s="13"/>
      <c r="E42" s="10">
        <f>SUMIFS(出入庫!F:F,出入庫!E:E,"入庫",出入庫!B:B,表格2[[#This Row],[料號]])-SUMIFS(出入庫!F:F,出入庫!E:E,"出庫",出入庫!B:B,表格2[[#This Row],[料號]])</f>
        <v>0</v>
      </c>
      <c r="F42" s="14"/>
      <c r="G42" s="14">
        <v>41</v>
      </c>
      <c r="H42" s="15"/>
      <c r="I42" s="15"/>
    </row>
    <row r="43" spans="1:9" ht="15.75">
      <c r="A43" s="18">
        <v>315600218000</v>
      </c>
      <c r="B43" s="1" t="s">
        <v>181</v>
      </c>
      <c r="C43" s="13" t="s">
        <v>182</v>
      </c>
      <c r="D43" s="13"/>
      <c r="E43" s="10">
        <f>SUMIFS(出入庫!F:F,出入庫!E:E,"入庫",出入庫!B:B,表格2[[#This Row],[料號]])-SUMIFS(出入庫!F:F,出入庫!E:E,"出庫",出入庫!B:B,表格2[[#This Row],[料號]])</f>
        <v>0</v>
      </c>
      <c r="F43" s="14"/>
      <c r="G43" s="14">
        <v>42</v>
      </c>
      <c r="H43" s="15"/>
      <c r="I43" s="15"/>
    </row>
    <row r="44" spans="1:9" ht="15.75">
      <c r="A44" s="18">
        <v>315601016001</v>
      </c>
      <c r="B44" s="1" t="s">
        <v>186</v>
      </c>
      <c r="C44" s="13" t="s">
        <v>188</v>
      </c>
      <c r="D44" s="13"/>
      <c r="E44" s="10">
        <f>SUMIFS(出入庫!F:F,出入庫!E:E,"入庫",出入庫!B:B,表格2[[#This Row],[料號]])-SUMIFS(出入庫!F:F,出入庫!E:E,"出庫",出入庫!B:B,表格2[[#This Row],[料號]])</f>
        <v>0</v>
      </c>
      <c r="F44" s="14"/>
      <c r="G44" s="14">
        <v>43</v>
      </c>
      <c r="H44" s="15"/>
      <c r="I44" s="15"/>
    </row>
    <row r="45" spans="1:9" ht="15.75">
      <c r="A45" s="18">
        <v>990000000003</v>
      </c>
      <c r="B45" s="1" t="s">
        <v>223</v>
      </c>
      <c r="C45" s="13" t="s">
        <v>188</v>
      </c>
      <c r="D45" s="13"/>
      <c r="E45" s="10">
        <f>SUMIFS(出入庫!F:F,出入庫!E:E,"入庫",出入庫!B:B,表格2[[#This Row],[料號]])-SUMIFS(出入庫!F:F,出入庫!E:E,"出庫",出入庫!B:B,表格2[[#This Row],[料號]])</f>
        <v>0</v>
      </c>
      <c r="F45" s="14"/>
      <c r="G45" s="14">
        <v>44</v>
      </c>
      <c r="H45" s="15"/>
      <c r="I45" s="15"/>
    </row>
    <row r="46" spans="1:9" ht="15.75">
      <c r="A46" s="18">
        <v>319600045006</v>
      </c>
      <c r="B46" s="1" t="s">
        <v>192</v>
      </c>
      <c r="C46" s="13" t="s">
        <v>193</v>
      </c>
      <c r="D46" s="13"/>
      <c r="E46" s="10">
        <f>SUMIFS(出入庫!F:F,出入庫!E:E,"入庫",出入庫!B:B,表格2[[#This Row],[料號]])-SUMIFS(出入庫!F:F,出入庫!E:E,"出庫",出入庫!B:B,表格2[[#This Row],[料號]])</f>
        <v>0</v>
      </c>
      <c r="F46" s="14"/>
      <c r="G46" s="14">
        <v>45</v>
      </c>
      <c r="H46" s="15"/>
      <c r="I46" s="15"/>
    </row>
    <row r="47" spans="1:9" ht="15.75">
      <c r="A47" s="18">
        <v>990000000005</v>
      </c>
      <c r="B47" s="1" t="s">
        <v>199</v>
      </c>
      <c r="C47" s="13" t="s">
        <v>200</v>
      </c>
      <c r="D47" s="13"/>
      <c r="E47" s="10">
        <f>SUMIFS(出入庫!F:F,出入庫!E:E,"入庫",出入庫!B:B,表格2[[#This Row],[料號]])-SUMIFS(出入庫!F:F,出入庫!E:E,"出庫",出入庫!B:B,表格2[[#This Row],[料號]])</f>
        <v>0</v>
      </c>
      <c r="F47" s="14"/>
      <c r="G47" s="14">
        <v>46</v>
      </c>
      <c r="H47" s="15"/>
      <c r="I47" s="15"/>
    </row>
    <row r="48" spans="1:9" ht="15.75">
      <c r="A48" s="18">
        <v>315600715000</v>
      </c>
      <c r="B48" s="1" t="s">
        <v>201</v>
      </c>
      <c r="C48" s="13" t="s">
        <v>202</v>
      </c>
      <c r="D48" s="13"/>
      <c r="E48" s="10">
        <f>SUMIFS(出入庫!F:F,出入庫!E:E,"入庫",出入庫!B:B,表格2[[#This Row],[料號]])-SUMIFS(出入庫!F:F,出入庫!E:E,"出庫",出入庫!B:B,表格2[[#This Row],[料號]])</f>
        <v>0</v>
      </c>
      <c r="F48" s="14"/>
      <c r="G48" s="14">
        <v>47</v>
      </c>
      <c r="H48" s="15"/>
      <c r="I48" s="15"/>
    </row>
    <row r="49" spans="1:9" ht="15.75">
      <c r="A49" s="18">
        <v>319000066000</v>
      </c>
      <c r="B49" s="1" t="s">
        <v>204</v>
      </c>
      <c r="C49" s="13" t="s">
        <v>205</v>
      </c>
      <c r="D49" s="13"/>
      <c r="E49" s="10">
        <f>SUMIFS(出入庫!F:F,出入庫!E:E,"入庫",出入庫!B:B,表格2[[#This Row],[料號]])-SUMIFS(出入庫!F:F,出入庫!E:E,"出庫",出入庫!B:B,表格2[[#This Row],[料號]])</f>
        <v>0</v>
      </c>
      <c r="F49" s="14"/>
      <c r="G49" s="14">
        <v>48</v>
      </c>
      <c r="H49" s="15"/>
      <c r="I49" s="15"/>
    </row>
    <row r="50" spans="1:9" ht="15.75">
      <c r="A50" s="18">
        <v>315601039000</v>
      </c>
      <c r="B50" s="1" t="s">
        <v>209</v>
      </c>
      <c r="C50" s="13" t="s">
        <v>210</v>
      </c>
      <c r="D50" s="13"/>
      <c r="E50" s="10">
        <f>SUMIFS(出入庫!F:F,出入庫!E:E,"入庫",出入庫!B:B,表格2[[#This Row],[料號]])-SUMIFS(出入庫!F:F,出入庫!E:E,"出庫",出入庫!B:B,表格2[[#This Row],[料號]])</f>
        <v>0</v>
      </c>
      <c r="F50" s="14"/>
      <c r="G50" s="14">
        <v>49</v>
      </c>
      <c r="H50" s="15"/>
      <c r="I50" s="15"/>
    </row>
    <row r="51" spans="1:9" ht="15.75">
      <c r="A51" s="18">
        <v>315600849000</v>
      </c>
      <c r="B51" s="1" t="s">
        <v>211</v>
      </c>
      <c r="C51" s="13" t="s">
        <v>212</v>
      </c>
      <c r="D51" s="13"/>
      <c r="E51" s="10">
        <f>SUMIFS(出入庫!F:F,出入庫!E:E,"入庫",出入庫!B:B,表格2[[#This Row],[料號]])-SUMIFS(出入庫!F:F,出入庫!E:E,"出庫",出入庫!B:B,表格2[[#This Row],[料號]])</f>
        <v>0</v>
      </c>
      <c r="F51" s="14"/>
      <c r="G51" s="14">
        <v>50</v>
      </c>
      <c r="H51" s="15"/>
      <c r="I51" s="15"/>
    </row>
    <row r="52" spans="1:9" ht="15.75">
      <c r="A52" s="18">
        <v>315600737000</v>
      </c>
      <c r="B52" s="1" t="s">
        <v>214</v>
      </c>
      <c r="C52" s="13" t="s">
        <v>215</v>
      </c>
      <c r="D52" s="13"/>
      <c r="E52" s="10">
        <f>SUMIFS(出入庫!F:F,出入庫!E:E,"入庫",出入庫!B:B,表格2[[#This Row],[料號]])-SUMIFS(出入庫!F:F,出入庫!E:E,"出庫",出入庫!B:B,表格2[[#This Row],[料號]])</f>
        <v>0</v>
      </c>
      <c r="F52" s="14"/>
      <c r="G52" s="14">
        <v>51</v>
      </c>
      <c r="H52" s="15"/>
      <c r="I52" s="15"/>
    </row>
    <row r="53" spans="1:9" ht="15.75">
      <c r="A53" s="18">
        <v>315600954000</v>
      </c>
      <c r="B53" s="1" t="s">
        <v>217</v>
      </c>
      <c r="C53" s="13" t="s">
        <v>218</v>
      </c>
      <c r="D53" s="13"/>
      <c r="E53" s="10">
        <f>SUMIFS(出入庫!F:F,出入庫!E:E,"入庫",出入庫!B:B,表格2[[#This Row],[料號]])-SUMIFS(出入庫!F:F,出入庫!E:E,"出庫",出入庫!B:B,表格2[[#This Row],[料號]])</f>
        <v>0</v>
      </c>
      <c r="F53" s="14"/>
      <c r="G53" s="14">
        <v>52</v>
      </c>
      <c r="H53" s="15"/>
      <c r="I53" s="15"/>
    </row>
    <row r="54" spans="1:9" ht="15.75">
      <c r="A54" s="18">
        <v>315600831001</v>
      </c>
      <c r="B54" s="1" t="s">
        <v>220</v>
      </c>
      <c r="C54" s="13" t="s">
        <v>221</v>
      </c>
      <c r="D54" s="13"/>
      <c r="E54" s="10">
        <f>SUMIFS(出入庫!F:F,出入庫!E:E,"入庫",出入庫!B:B,表格2[[#This Row],[料號]])-SUMIFS(出入庫!F:F,出入庫!E:E,"出庫",出入庫!B:B,表格2[[#This Row],[料號]])</f>
        <v>0</v>
      </c>
      <c r="F54" s="14"/>
      <c r="G54" s="14">
        <v>53</v>
      </c>
      <c r="H54" s="15"/>
      <c r="I54" s="15"/>
    </row>
    <row r="55" spans="1:9" ht="15.75">
      <c r="A55" s="18">
        <v>315600797002</v>
      </c>
      <c r="B55" s="1" t="s">
        <v>226</v>
      </c>
      <c r="C55" s="13" t="s">
        <v>227</v>
      </c>
      <c r="D55" s="13"/>
      <c r="E55" s="10">
        <f>SUMIFS(出入庫!F:F,出入庫!E:E,"入庫",出入庫!B:B,表格2[[#This Row],[料號]])-SUMIFS(出入庫!F:F,出入庫!E:E,"出庫",出入庫!B:B,表格2[[#This Row],[料號]])</f>
        <v>0</v>
      </c>
      <c r="F55" s="14"/>
      <c r="G55" s="14">
        <v>55</v>
      </c>
      <c r="H55" s="15"/>
      <c r="I55" s="15"/>
    </row>
    <row r="56" spans="1:9" ht="15.75">
      <c r="A56" s="18">
        <v>315600974001</v>
      </c>
      <c r="B56" s="1" t="s">
        <v>229</v>
      </c>
      <c r="C56" s="13" t="s">
        <v>230</v>
      </c>
      <c r="D56" s="13"/>
      <c r="E56" s="10">
        <f>SUMIFS(出入庫!F:F,出入庫!E:E,"入庫",出入庫!B:B,表格2[[#This Row],[料號]])-SUMIFS(出入庫!F:F,出入庫!E:E,"出庫",出入庫!B:B,表格2[[#This Row],[料號]])</f>
        <v>0</v>
      </c>
      <c r="F56" s="14"/>
      <c r="G56" s="14">
        <v>56</v>
      </c>
      <c r="H56" s="15"/>
      <c r="I56" s="15"/>
    </row>
    <row r="57" spans="1:9" ht="15.75">
      <c r="A57" s="18">
        <v>319000077002</v>
      </c>
      <c r="B57" s="1" t="s">
        <v>232</v>
      </c>
      <c r="C57" s="13" t="s">
        <v>233</v>
      </c>
      <c r="D57" s="13"/>
      <c r="E57" s="10">
        <f>SUMIFS(出入庫!F:F,出入庫!E:E,"入庫",出入庫!B:B,表格2[[#This Row],[料號]])-SUMIFS(出入庫!F:F,出入庫!E:E,"出庫",出入庫!B:B,表格2[[#This Row],[料號]])</f>
        <v>0</v>
      </c>
      <c r="F57" s="14"/>
      <c r="G57" s="14">
        <v>57</v>
      </c>
      <c r="H57" s="15"/>
      <c r="I57" s="15"/>
    </row>
    <row r="58" spans="1:9" ht="15.75">
      <c r="A58" s="18">
        <v>315600381000</v>
      </c>
      <c r="B58" s="1" t="s">
        <v>235</v>
      </c>
      <c r="C58" s="13" t="s">
        <v>225</v>
      </c>
      <c r="D58" s="13"/>
      <c r="E58" s="10">
        <f>SUMIFS(出入庫!F:F,出入庫!E:E,"入庫",出入庫!B:B,表格2[[#This Row],[料號]])-SUMIFS(出入庫!F:F,出入庫!E:E,"出庫",出入庫!B:B,表格2[[#This Row],[料號]])</f>
        <v>0</v>
      </c>
      <c r="F58" s="14"/>
      <c r="G58" s="14">
        <v>54</v>
      </c>
      <c r="H58" s="15"/>
      <c r="I58" s="15"/>
    </row>
    <row r="59" spans="1:9" ht="15.75">
      <c r="A59" s="18">
        <v>315600859000</v>
      </c>
      <c r="B59" s="1" t="s">
        <v>236</v>
      </c>
      <c r="C59" s="13" t="s">
        <v>237</v>
      </c>
      <c r="D59" s="13"/>
      <c r="E59" s="10">
        <f>SUMIFS(出入庫!F:F,出入庫!E:E,"入庫",出入庫!B:B,表格2[[#This Row],[料號]])-SUMIFS(出入庫!F:F,出入庫!E:E,"出庫",出入庫!B:B,表格2[[#This Row],[料號]])</f>
        <v>0</v>
      </c>
      <c r="F59" s="14"/>
      <c r="G59" s="14">
        <v>58</v>
      </c>
      <c r="H59" s="15"/>
      <c r="I59" s="15"/>
    </row>
    <row r="60" spans="1:9" ht="15.75">
      <c r="A60" s="18">
        <v>990000000011</v>
      </c>
      <c r="B60" s="1" t="s">
        <v>243</v>
      </c>
      <c r="C60" s="13" t="s">
        <v>244</v>
      </c>
      <c r="D60" s="13"/>
      <c r="E60" s="10">
        <f>SUMIFS(出入庫!F:F,出入庫!E:E,"入庫",出入庫!B:B,表格2[[#This Row],[料號]])-SUMIFS(出入庫!F:F,出入庫!E:E,"出庫",出入庫!B:B,表格2[[#This Row],[料號]])</f>
        <v>200</v>
      </c>
      <c r="F60" s="14"/>
      <c r="G60" s="14">
        <v>59</v>
      </c>
      <c r="H60" s="15"/>
      <c r="I60" s="15"/>
    </row>
    <row r="61" spans="1:9" ht="15.75">
      <c r="A61" s="18">
        <v>990000000012</v>
      </c>
      <c r="B61" s="1" t="s">
        <v>245</v>
      </c>
      <c r="C61" s="13" t="s">
        <v>245</v>
      </c>
      <c r="D61" s="13"/>
      <c r="E61" s="10">
        <f>SUMIFS(出入庫!F:F,出入庫!E:E,"入庫",出入庫!B:B,表格2[[#This Row],[料號]])-SUMIFS(出入庫!F:F,出入庫!E:E,"出庫",出入庫!B:B,表格2[[#This Row],[料號]])</f>
        <v>0</v>
      </c>
      <c r="F61" s="14"/>
      <c r="G61" s="14">
        <v>60</v>
      </c>
      <c r="H61" s="15"/>
      <c r="I61" s="15"/>
    </row>
    <row r="62" spans="1:9" ht="15.75">
      <c r="A62" s="18">
        <v>319600063003</v>
      </c>
      <c r="B62" s="1" t="s">
        <v>247</v>
      </c>
      <c r="C62" s="13" t="s">
        <v>248</v>
      </c>
      <c r="D62" s="13"/>
      <c r="E62" s="10">
        <f>SUMIFS(出入庫!F:F,出入庫!E:E,"入庫",出入庫!B:B,表格2[[#This Row],[料號]])-SUMIFS(出入庫!F:F,出入庫!E:E,"出庫",出入庫!B:B,表格2[[#This Row],[料號]])</f>
        <v>0</v>
      </c>
      <c r="F62" s="14"/>
      <c r="G62" s="14">
        <v>61</v>
      </c>
      <c r="H62" s="15"/>
      <c r="I62" s="15"/>
    </row>
    <row r="63" spans="1:9" ht="15.75">
      <c r="A63" s="18">
        <v>990000000013</v>
      </c>
      <c r="B63" s="1" t="s">
        <v>250</v>
      </c>
      <c r="C63" s="13" t="s">
        <v>250</v>
      </c>
      <c r="D63" s="13"/>
      <c r="E63" s="10">
        <f>SUMIFS(出入庫!F:F,出入庫!E:E,"入庫",出入庫!B:B,表格2[[#This Row],[料號]])-SUMIFS(出入庫!F:F,出入庫!E:E,"出庫",出入庫!B:B,表格2[[#This Row],[料號]])</f>
        <v>0</v>
      </c>
      <c r="F63" s="14"/>
      <c r="G63" s="14">
        <v>62</v>
      </c>
      <c r="H63" s="15"/>
      <c r="I63" s="15"/>
    </row>
    <row r="64" spans="1:9" ht="15.75">
      <c r="A64" s="18">
        <v>980000000001</v>
      </c>
      <c r="B64" s="1" t="s">
        <v>328</v>
      </c>
      <c r="C64" s="13" t="s">
        <v>254</v>
      </c>
      <c r="D64" s="13"/>
      <c r="E64" s="10">
        <f>SUMIFS(出入庫!F:F,出入庫!E:E,"入庫",出入庫!B:B,表格2[[#This Row],[料號]])-SUMIFS(出入庫!F:F,出入庫!E:E,"出庫",出入庫!B:B,表格2[[#This Row],[料號]])</f>
        <v>0</v>
      </c>
      <c r="F64" s="14"/>
      <c r="G64" s="14">
        <v>63</v>
      </c>
      <c r="H64" s="15"/>
      <c r="I64" s="15"/>
    </row>
    <row r="65" spans="1:9" ht="15.75">
      <c r="A65" s="18">
        <v>990000000014</v>
      </c>
      <c r="B65" s="1" t="s">
        <v>255</v>
      </c>
      <c r="C65" s="13" t="s">
        <v>255</v>
      </c>
      <c r="D65" s="13"/>
      <c r="E65" s="10">
        <f>SUMIFS(出入庫!F:F,出入庫!E:E,"入庫",出入庫!B:B,表格2[[#This Row],[料號]])-SUMIFS(出入庫!F:F,出入庫!E:E,"出庫",出入庫!B:B,表格2[[#This Row],[料號]])</f>
        <v>0</v>
      </c>
      <c r="F65" s="14"/>
      <c r="G65" s="14">
        <v>64</v>
      </c>
      <c r="H65" s="15"/>
      <c r="I65" s="15"/>
    </row>
    <row r="66" spans="1:9" ht="15.75">
      <c r="A66" s="18">
        <v>990000000015</v>
      </c>
      <c r="B66" s="1" t="s">
        <v>258</v>
      </c>
      <c r="C66" s="13" t="s">
        <v>258</v>
      </c>
      <c r="D66" s="13"/>
      <c r="E66" s="10">
        <f>SUMIFS(出入庫!F:F,出入庫!E:E,"入庫",出入庫!B:B,表格2[[#This Row],[料號]])-SUMIFS(出入庫!F:F,出入庫!E:E,"出庫",出入庫!B:B,表格2[[#This Row],[料號]])</f>
        <v>0</v>
      </c>
      <c r="F66" s="14"/>
      <c r="G66" s="14">
        <v>65</v>
      </c>
      <c r="H66" s="15"/>
      <c r="I66" s="15"/>
    </row>
    <row r="67" spans="1:9" ht="15.75">
      <c r="A67" s="18">
        <v>990000000016</v>
      </c>
      <c r="B67" s="1" t="s">
        <v>259</v>
      </c>
      <c r="C67" s="13" t="s">
        <v>259</v>
      </c>
      <c r="D67" s="13"/>
      <c r="E67" s="10">
        <f>SUMIFS(出入庫!F:F,出入庫!E:E,"入庫",出入庫!B:B,表格2[[#This Row],[料號]])-SUMIFS(出入庫!F:F,出入庫!E:E,"出庫",出入庫!B:B,表格2[[#This Row],[料號]])</f>
        <v>0</v>
      </c>
      <c r="F67" s="14"/>
      <c r="G67" s="14">
        <v>66</v>
      </c>
      <c r="H67" s="15"/>
      <c r="I67" s="15"/>
    </row>
    <row r="68" spans="1:9" ht="15.75">
      <c r="A68" s="18">
        <v>990000000017</v>
      </c>
      <c r="B68" s="1" t="s">
        <v>261</v>
      </c>
      <c r="C68" s="13" t="s">
        <v>261</v>
      </c>
      <c r="D68" s="13"/>
      <c r="E68" s="10">
        <f>SUMIFS(出入庫!F:F,出入庫!E:E,"入庫",出入庫!B:B,表格2[[#This Row],[料號]])-SUMIFS(出入庫!F:F,出入庫!E:E,"出庫",出入庫!B:B,表格2[[#This Row],[料號]])</f>
        <v>0</v>
      </c>
      <c r="F68" s="14"/>
      <c r="G68" s="14">
        <v>67</v>
      </c>
      <c r="H68" s="15"/>
      <c r="I68" s="15"/>
    </row>
    <row r="69" spans="1:9" ht="15.75">
      <c r="A69" s="18">
        <v>990000000018</v>
      </c>
      <c r="B69" s="1" t="s">
        <v>245</v>
      </c>
      <c r="C69" s="13" t="s">
        <v>245</v>
      </c>
      <c r="D69" s="13"/>
      <c r="E69" s="10">
        <f>SUMIFS(出入庫!F:F,出入庫!E:E,"入庫",出入庫!B:B,表格2[[#This Row],[料號]])-SUMIFS(出入庫!F:F,出入庫!E:E,"出庫",出入庫!B:B,表格2[[#This Row],[料號]])</f>
        <v>0</v>
      </c>
      <c r="F69" s="14"/>
      <c r="G69" s="14">
        <v>68</v>
      </c>
      <c r="H69" s="15"/>
      <c r="I69" s="15"/>
    </row>
    <row r="70" spans="1:9" ht="15.75">
      <c r="A70" s="18">
        <v>990000000019</v>
      </c>
      <c r="B70" s="1" t="s">
        <v>250</v>
      </c>
      <c r="C70" s="13" t="s">
        <v>250</v>
      </c>
      <c r="D70" s="13"/>
      <c r="E70" s="10">
        <f>SUMIFS(出入庫!F:F,出入庫!E:E,"入庫",出入庫!B:B,表格2[[#This Row],[料號]])-SUMIFS(出入庫!F:F,出入庫!E:E,"出庫",出入庫!B:B,表格2[[#This Row],[料號]])</f>
        <v>0</v>
      </c>
      <c r="F70" s="14"/>
      <c r="G70" s="14">
        <v>69</v>
      </c>
      <c r="H70" s="15"/>
      <c r="I70" s="15"/>
    </row>
    <row r="71" spans="1:9" ht="15.75">
      <c r="A71" s="18">
        <v>315601095000</v>
      </c>
      <c r="B71" s="1" t="s">
        <v>266</v>
      </c>
      <c r="C71" s="13" t="s">
        <v>267</v>
      </c>
      <c r="D71" s="13"/>
      <c r="E71" s="10">
        <f>SUMIFS(出入庫!F:F,出入庫!E:E,"入庫",出入庫!B:B,表格2[[#This Row],[料號]])-SUMIFS(出入庫!F:F,出入庫!E:E,"出庫",出入庫!B:B,表格2[[#This Row],[料號]])</f>
        <v>0</v>
      </c>
      <c r="F71" s="14"/>
      <c r="G71" s="14">
        <v>70</v>
      </c>
      <c r="H71" s="15"/>
      <c r="I71" s="15"/>
    </row>
    <row r="72" spans="1:9" ht="15.75">
      <c r="A72" s="18">
        <v>311980085000</v>
      </c>
      <c r="B72" s="1" t="s">
        <v>270</v>
      </c>
      <c r="C72" s="13" t="s">
        <v>270</v>
      </c>
      <c r="D72" s="13"/>
      <c r="E72" s="10">
        <f>SUMIFS(出入庫!F:F,出入庫!E:E,"入庫",出入庫!B:B,表格2[[#This Row],[料號]])-SUMIFS(出入庫!F:F,出入庫!E:E,"出庫",出入庫!B:B,表格2[[#This Row],[料號]])</f>
        <v>0</v>
      </c>
      <c r="F72" s="14"/>
      <c r="G72" s="14">
        <v>71</v>
      </c>
      <c r="H72" s="15"/>
      <c r="I72" s="15"/>
    </row>
    <row r="73" spans="1:9" ht="15.75">
      <c r="A73" s="18">
        <v>315601097000</v>
      </c>
      <c r="B73" s="1" t="s">
        <v>271</v>
      </c>
      <c r="C73" s="13" t="s">
        <v>272</v>
      </c>
      <c r="D73" s="13"/>
      <c r="E73" s="10">
        <f>SUMIFS(出入庫!F:F,出入庫!E:E,"入庫",出入庫!B:B,表格2[[#This Row],[料號]])-SUMIFS(出入庫!F:F,出入庫!E:E,"出庫",出入庫!B:B,表格2[[#This Row],[料號]])</f>
        <v>0</v>
      </c>
      <c r="F73" s="14"/>
      <c r="G73" s="14">
        <v>72</v>
      </c>
      <c r="H73" s="15"/>
      <c r="I73" s="15"/>
    </row>
    <row r="74" spans="1:9" ht="15.75">
      <c r="A74" s="18">
        <v>311980086000</v>
      </c>
      <c r="B74" s="1" t="s">
        <v>275</v>
      </c>
      <c r="C74" s="13" t="s">
        <v>275</v>
      </c>
      <c r="D74" s="13"/>
      <c r="E74" s="10">
        <f>SUMIFS(出入庫!F:F,出入庫!E:E,"入庫",出入庫!B:B,表格2[[#This Row],[料號]])-SUMIFS(出入庫!F:F,出入庫!E:E,"出庫",出入庫!B:B,表格2[[#This Row],[料號]])</f>
        <v>0</v>
      </c>
      <c r="F74" s="14"/>
      <c r="G74" s="14">
        <v>73</v>
      </c>
      <c r="H74" s="15"/>
      <c r="I74" s="15"/>
    </row>
    <row r="75" spans="1:9" ht="15.75">
      <c r="A75" s="18">
        <v>990000000020</v>
      </c>
      <c r="B75" s="1" t="s">
        <v>277</v>
      </c>
      <c r="C75" s="13" t="s">
        <v>277</v>
      </c>
      <c r="D75" s="13"/>
      <c r="E75" s="10">
        <f>SUMIFS(出入庫!F:F,出入庫!E:E,"入庫",出入庫!B:B,表格2[[#This Row],[料號]])-SUMIFS(出入庫!F:F,出入庫!E:E,"出庫",出入庫!B:B,表格2[[#This Row],[料號]])</f>
        <v>18</v>
      </c>
      <c r="F75" s="14"/>
      <c r="G75" s="14">
        <v>74</v>
      </c>
      <c r="H75" s="15"/>
      <c r="I75" s="15"/>
    </row>
    <row r="76" spans="1:9" ht="15.75">
      <c r="A76" s="18">
        <v>990000000021</v>
      </c>
      <c r="B76" s="1" t="s">
        <v>278</v>
      </c>
      <c r="C76" s="13" t="s">
        <v>278</v>
      </c>
      <c r="D76" s="13"/>
      <c r="E76" s="10">
        <f>SUMIFS(出入庫!F:F,出入庫!E:E,"入庫",出入庫!B:B,表格2[[#This Row],[料號]])-SUMIFS(出入庫!F:F,出入庫!E:E,"出庫",出入庫!B:B,表格2[[#This Row],[料號]])</f>
        <v>0</v>
      </c>
      <c r="F76" s="14"/>
      <c r="G76" s="14">
        <v>75</v>
      </c>
      <c r="H76" s="15"/>
      <c r="I76" s="15"/>
    </row>
    <row r="77" spans="1:9" ht="15.75">
      <c r="A77" s="18">
        <v>311400007000</v>
      </c>
      <c r="B77" s="1" t="s">
        <v>280</v>
      </c>
      <c r="C77" s="13" t="s">
        <v>281</v>
      </c>
      <c r="D77" s="13"/>
      <c r="E77" s="10">
        <f>SUMIFS(出入庫!F:F,出入庫!E:E,"入庫",出入庫!B:B,表格2[[#This Row],[料號]])-SUMIFS(出入庫!F:F,出入庫!E:E,"出庫",出入庫!B:B,表格2[[#This Row],[料號]])</f>
        <v>0</v>
      </c>
      <c r="F77" s="14"/>
      <c r="G77" s="14">
        <v>76</v>
      </c>
      <c r="H77" s="15"/>
      <c r="I77" s="15"/>
    </row>
    <row r="78" spans="1:9" ht="15.75">
      <c r="A78" s="18">
        <v>990000000022</v>
      </c>
      <c r="B78" s="1" t="s">
        <v>284</v>
      </c>
      <c r="C78" s="13" t="s">
        <v>284</v>
      </c>
      <c r="D78" s="13"/>
      <c r="E78" s="10">
        <f>SUMIFS(出入庫!F:F,出入庫!E:E,"入庫",出入庫!B:B,表格2[[#This Row],[料號]])-SUMIFS(出入庫!F:F,出入庫!E:E,"出庫",出入庫!B:B,表格2[[#This Row],[料號]])</f>
        <v>0</v>
      </c>
      <c r="F78" s="14"/>
      <c r="G78" s="14">
        <v>77</v>
      </c>
      <c r="H78" s="15"/>
      <c r="I78" s="15"/>
    </row>
    <row r="79" spans="1:9" ht="15.75">
      <c r="A79" s="18">
        <v>990000000023</v>
      </c>
      <c r="B79" s="1" t="s">
        <v>278</v>
      </c>
      <c r="C79" s="13" t="s">
        <v>278</v>
      </c>
      <c r="D79" s="13"/>
      <c r="E79" s="10">
        <f>SUMIFS(出入庫!F:F,出入庫!E:E,"入庫",出入庫!B:B,表格2[[#This Row],[料號]])-SUMIFS(出入庫!F:F,出入庫!E:E,"出庫",出入庫!B:B,表格2[[#This Row],[料號]])</f>
        <v>0</v>
      </c>
      <c r="F79" s="14"/>
      <c r="G79" s="14">
        <v>78</v>
      </c>
      <c r="H79" s="15"/>
      <c r="I79" s="15"/>
    </row>
    <row r="80" spans="1:9" ht="15.75">
      <c r="A80" s="18">
        <v>10509006</v>
      </c>
      <c r="B80" s="1" t="s">
        <v>289</v>
      </c>
      <c r="C80" s="13" t="s">
        <v>290</v>
      </c>
      <c r="D80" s="13"/>
      <c r="E80" s="10">
        <f>SUMIFS(出入庫!F:F,出入庫!E:E,"入庫",出入庫!B:B,表格2[[#This Row],[料號]])-SUMIFS(出入庫!F:F,出入庫!E:E,"出庫",出入庫!B:B,表格2[[#This Row],[料號]])</f>
        <v>0</v>
      </c>
      <c r="F80" s="14"/>
      <c r="G80" s="14">
        <v>79</v>
      </c>
      <c r="H80" s="15"/>
      <c r="I80" s="15"/>
    </row>
    <row r="81" spans="1:9" ht="15.75">
      <c r="A81" s="18">
        <v>990000000024</v>
      </c>
      <c r="B81" s="1" t="s">
        <v>293</v>
      </c>
      <c r="C81" s="13" t="s">
        <v>293</v>
      </c>
      <c r="D81" s="13"/>
      <c r="E81" s="10">
        <f>SUMIFS(出入庫!F:F,出入庫!E:E,"入庫",出入庫!B:B,表格2[[#This Row],[料號]])-SUMIFS(出入庫!F:F,出入庫!E:E,"出庫",出入庫!B:B,表格2[[#This Row],[料號]])</f>
        <v>0</v>
      </c>
      <c r="F81" s="14"/>
      <c r="G81" s="14">
        <v>80</v>
      </c>
      <c r="H81" s="15"/>
      <c r="I81" s="15"/>
    </row>
    <row r="82" spans="1:9" ht="15.75">
      <c r="A82" s="18">
        <v>990000000025</v>
      </c>
      <c r="B82" s="1" t="s">
        <v>295</v>
      </c>
      <c r="C82" s="13" t="s">
        <v>295</v>
      </c>
      <c r="D82" s="13"/>
      <c r="E82" s="10">
        <f>SUMIFS(出入庫!F:F,出入庫!E:E,"入庫",出入庫!B:B,表格2[[#This Row],[料號]])-SUMIFS(出入庫!F:F,出入庫!E:E,"出庫",出入庫!B:B,表格2[[#This Row],[料號]])</f>
        <v>0</v>
      </c>
      <c r="F82" s="14"/>
      <c r="G82" s="14">
        <v>81</v>
      </c>
      <c r="H82" s="15"/>
      <c r="I82" s="15"/>
    </row>
    <row r="83" spans="1:9" ht="15.75">
      <c r="A83" s="18">
        <v>319600056004</v>
      </c>
      <c r="B83" s="1" t="s">
        <v>300</v>
      </c>
      <c r="C83" s="13" t="s">
        <v>301</v>
      </c>
      <c r="D83" s="13"/>
      <c r="E83" s="10">
        <f>SUMIFS(出入庫!F:F,出入庫!E:E,"入庫",出入庫!B:B,表格2[[#This Row],[料號]])-SUMIFS(出入庫!F:F,出入庫!E:E,"出庫",出入庫!B:B,表格2[[#This Row],[料號]])</f>
        <v>0</v>
      </c>
      <c r="F83" s="14"/>
      <c r="G83" s="14">
        <v>82</v>
      </c>
      <c r="H83" s="15"/>
      <c r="I83" s="15"/>
    </row>
    <row r="84" spans="1:9" ht="15.75">
      <c r="A84" s="18">
        <v>319600053004</v>
      </c>
      <c r="B84" s="1" t="s">
        <v>302</v>
      </c>
      <c r="C84" s="13" t="s">
        <v>303</v>
      </c>
      <c r="D84" s="13"/>
      <c r="E84" s="10">
        <f>SUMIFS(出入庫!F:F,出入庫!E:E,"入庫",出入庫!B:B,表格2[[#This Row],[料號]])-SUMIFS(出入庫!F:F,出入庫!E:E,"出庫",出入庫!B:B,表格2[[#This Row],[料號]])</f>
        <v>0</v>
      </c>
      <c r="F84" s="14"/>
      <c r="G84" s="14">
        <v>83</v>
      </c>
      <c r="H84" s="15"/>
      <c r="I84" s="15"/>
    </row>
    <row r="85" spans="1:9" ht="15.75">
      <c r="A85" s="18">
        <v>990000000026</v>
      </c>
      <c r="B85" s="1" t="s">
        <v>305</v>
      </c>
      <c r="C85" s="1" t="s">
        <v>305</v>
      </c>
      <c r="D85" s="1"/>
      <c r="E85" s="10">
        <f>SUMIFS(出入庫!F:F,出入庫!E:E,"入庫",出入庫!B:B,表格2[[#This Row],[料號]])-SUMIFS(出入庫!F:F,出入庫!E:E,"出庫",出入庫!B:B,表格2[[#This Row],[料號]])</f>
        <v>0</v>
      </c>
      <c r="F85" s="14"/>
      <c r="G85" s="14">
        <v>84</v>
      </c>
      <c r="H85" s="15"/>
      <c r="I85" s="15"/>
    </row>
    <row r="86" spans="1:9" ht="15.75">
      <c r="A86" s="18">
        <v>41000022</v>
      </c>
      <c r="B86" s="1" t="s">
        <v>307</v>
      </c>
      <c r="C86" s="13" t="s">
        <v>307</v>
      </c>
      <c r="D86" s="13"/>
      <c r="E86" s="10">
        <f>SUMIFS(出入庫!F:F,出入庫!E:E,"入庫",出入庫!B:B,表格2[[#This Row],[料號]])-SUMIFS(出入庫!F:F,出入庫!E:E,"出庫",出入庫!B:B,表格2[[#This Row],[料號]])</f>
        <v>0</v>
      </c>
      <c r="F86" s="14"/>
      <c r="G86" s="14">
        <v>85</v>
      </c>
      <c r="H86" s="15"/>
      <c r="I86" s="15"/>
    </row>
  </sheetData>
  <sheetProtection algorithmName="SHA-512" hashValue="kcFmPmyBBebSQA0NGakPfYO6E7IcWyfbelztSERASOvnXs36PSgD5r93k119t4iEFgK7AezocWOftKzDDQ+Udw==" saltValue="Lm0lU36Yy0s3Swu1TP6Jyw==" spinCount="100000" sheet="1" objects="1" scenarios="1"/>
  <phoneticPr fontId="1" type="noConversion"/>
  <conditionalFormatting sqref="A1:A1048576">
    <cfRule type="duplicateValues" dxfId="65" priority="3"/>
  </conditionalFormatting>
  <conditionalFormatting sqref="G1:G1048576">
    <cfRule type="duplicateValues" dxfId="64" priority="2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0768-4AC9-42BC-A866-DB4593652E21}">
  <sheetPr codeName="工作表11"/>
  <dimension ref="A1:I86"/>
  <sheetViews>
    <sheetView zoomScale="40" zoomScaleNormal="40" workbookViewId="0">
      <pane ySplit="1" topLeftCell="A2" activePane="bottomLeft" state="frozen"/>
      <selection activeCell="B27" sqref="B27"/>
      <selection pane="bottomLeft" activeCell="E30" sqref="E30"/>
    </sheetView>
  </sheetViews>
  <sheetFormatPr defaultColWidth="8.85546875" defaultRowHeight="15"/>
  <cols>
    <col min="1" max="1" width="18.7109375" style="19" bestFit="1" customWidth="1"/>
    <col min="2" max="2" width="152.5703125" style="16" bestFit="1" customWidth="1"/>
    <col min="3" max="3" width="123.0703125" style="4" bestFit="1" customWidth="1"/>
    <col min="4" max="4" width="11.140625" style="4" bestFit="1" customWidth="1"/>
    <col min="5" max="5" width="11.140625" style="3" bestFit="1" customWidth="1"/>
    <col min="6" max="6" width="8" style="3" bestFit="1" customWidth="1"/>
    <col min="7" max="7" width="8" style="4" bestFit="1" customWidth="1"/>
    <col min="8" max="8" width="14.35546875" style="4" bestFit="1" customWidth="1"/>
    <col min="9" max="9" width="7.85546875" style="4" customWidth="1"/>
    <col min="10" max="16384" width="8.85546875" style="4"/>
  </cols>
  <sheetData>
    <row r="1" spans="1:9" ht="22.9">
      <c r="A1" s="17" t="s">
        <v>14</v>
      </c>
      <c r="B1" s="11" t="s">
        <v>2</v>
      </c>
      <c r="C1" s="11" t="s">
        <v>3</v>
      </c>
      <c r="D1" s="11" t="s">
        <v>4</v>
      </c>
      <c r="E1" s="11" t="s">
        <v>15</v>
      </c>
      <c r="F1" s="11" t="s">
        <v>12</v>
      </c>
      <c r="G1" s="12" t="s">
        <v>13</v>
      </c>
      <c r="H1" s="22" t="s">
        <v>16</v>
      </c>
      <c r="I1" s="31" t="s">
        <v>29</v>
      </c>
    </row>
    <row r="2" spans="1:9" ht="15.75">
      <c r="A2" s="18">
        <v>315600127001</v>
      </c>
      <c r="B2" s="1" t="s">
        <v>47</v>
      </c>
      <c r="C2" s="13" t="s">
        <v>46</v>
      </c>
      <c r="D2" s="13"/>
      <c r="E2" s="10">
        <f>SUMIFS(出入庫!F:F, 出入庫!E:E, "出庫", 出入庫!B:B, 表格2_7[[#This Row],[料號]], 出入庫!G:G, "線上") - SUMIFS(出入庫!F:F, 出入庫!E:E, "入庫", 出入庫!B:B, 表格2_7[[#This Row],[料號]], 出入庫!G:G, "線上")</f>
        <v>22</v>
      </c>
      <c r="F2" s="14"/>
      <c r="G2" s="14"/>
      <c r="H2" s="15"/>
      <c r="I2" s="23"/>
    </row>
    <row r="3" spans="1:9" ht="15.75">
      <c r="A3" s="18">
        <v>315600217001</v>
      </c>
      <c r="B3" s="1" t="s">
        <v>50</v>
      </c>
      <c r="C3" s="13" t="s">
        <v>51</v>
      </c>
      <c r="D3" s="13"/>
      <c r="E3" s="10">
        <f>SUMIFS(出入庫!F:F, 出入庫!E:E, "出庫", 出入庫!B:B, 表格2_7[[#This Row],[料號]], 出入庫!G:G, "線上") - SUMIFS(出入庫!F:F, 出入庫!E:E, "入庫", 出入庫!B:B, 表格2_7[[#This Row],[料號]], 出入庫!G:G, "線上")</f>
        <v>132</v>
      </c>
      <c r="F3" s="14"/>
      <c r="G3" s="14"/>
      <c r="H3" s="15"/>
      <c r="I3" s="23"/>
    </row>
    <row r="4" spans="1:9" ht="15.75">
      <c r="A4" s="18">
        <v>315600868001</v>
      </c>
      <c r="B4" s="1" t="s">
        <v>52</v>
      </c>
      <c r="C4" s="13" t="s">
        <v>53</v>
      </c>
      <c r="D4" s="13"/>
      <c r="E4" s="10">
        <f>SUMIFS(出入庫!F:F, 出入庫!E:E, "出庫", 出入庫!B:B, 表格2_7[[#This Row],[料號]], 出入庫!G:G, "線上") - SUMIFS(出入庫!F:F, 出入庫!E:E, "入庫", 出入庫!B:B, 表格2_7[[#This Row],[料號]], 出入庫!G:G, "線上")</f>
        <v>28</v>
      </c>
      <c r="F4" s="14"/>
      <c r="G4" s="14"/>
      <c r="H4" s="15"/>
      <c r="I4" s="23"/>
    </row>
    <row r="5" spans="1:9" ht="15.75">
      <c r="A5" s="18">
        <v>315600869000</v>
      </c>
      <c r="B5" s="1" t="s">
        <v>54</v>
      </c>
      <c r="C5" s="13" t="s">
        <v>55</v>
      </c>
      <c r="D5" s="13"/>
      <c r="E5" s="10">
        <f>SUMIFS(出入庫!F:F, 出入庫!E:E, "出庫", 出入庫!B:B, 表格2_7[[#This Row],[料號]], 出入庫!G:G, "線上") - SUMIFS(出入庫!F:F, 出入庫!E:E, "入庫", 出入庫!B:B, 表格2_7[[#This Row],[料號]], 出入庫!G:G, "線上")</f>
        <v>262</v>
      </c>
      <c r="F5" s="14"/>
      <c r="G5" s="14"/>
      <c r="H5" s="15"/>
      <c r="I5" s="23"/>
    </row>
    <row r="6" spans="1:9" ht="15.75">
      <c r="A6" s="18">
        <v>315601091000</v>
      </c>
      <c r="B6" s="1" t="s">
        <v>42</v>
      </c>
      <c r="C6" s="13" t="s">
        <v>43</v>
      </c>
      <c r="D6" s="13"/>
      <c r="E6" s="10">
        <f>SUMIFS(出入庫!F:F, 出入庫!E:E, "出庫", 出入庫!B:B, 表格2_7[[#This Row],[料號]], 出入庫!G:G, "線上") - SUMIFS(出入庫!F:F, 出入庫!E:E, "入庫", 出入庫!B:B, 表格2_7[[#This Row],[料號]], 出入庫!G:G, "線上")</f>
        <v>310</v>
      </c>
      <c r="F6" s="14"/>
      <c r="G6" s="14"/>
      <c r="H6" s="15"/>
      <c r="I6" s="23"/>
    </row>
    <row r="7" spans="1:9" ht="15.75">
      <c r="A7" s="18">
        <v>319100042008</v>
      </c>
      <c r="B7" s="1" t="s">
        <v>33</v>
      </c>
      <c r="C7" s="13" t="s">
        <v>56</v>
      </c>
      <c r="D7" s="13"/>
      <c r="E7" s="10">
        <f>SUMIFS(出入庫!F:F, 出入庫!E:E, "出庫", 出入庫!B:B, 表格2_7[[#This Row],[料號]], 出入庫!G:G, "線上") - SUMIFS(出入庫!F:F, 出入庫!E:E, "入庫", 出入庫!B:B, 表格2_7[[#This Row],[料號]], 出入庫!G:G, "線上")</f>
        <v>165</v>
      </c>
      <c r="F7" s="14"/>
      <c r="G7" s="14"/>
      <c r="H7" s="15"/>
      <c r="I7" s="23"/>
    </row>
    <row r="8" spans="1:9" ht="15.75">
      <c r="A8" s="18">
        <v>315600821003</v>
      </c>
      <c r="B8" s="1" t="s">
        <v>32</v>
      </c>
      <c r="C8" s="13" t="s">
        <v>58</v>
      </c>
      <c r="D8" s="13"/>
      <c r="E8" s="10">
        <f>SUMIFS(出入庫!F:F, 出入庫!E:E, "出庫", 出入庫!B:B, 表格2_7[[#This Row],[料號]], 出入庫!G:G, "線上") - SUMIFS(出入庫!F:F, 出入庫!E:E, "入庫", 出入庫!B:B, 表格2_7[[#This Row],[料號]], 出入庫!G:G, "線上")</f>
        <v>338</v>
      </c>
      <c r="F8" s="14"/>
      <c r="G8" s="14"/>
      <c r="H8" s="15"/>
      <c r="I8" s="23"/>
    </row>
    <row r="9" spans="1:9" ht="15.75">
      <c r="A9" s="18">
        <v>315600734000</v>
      </c>
      <c r="B9" s="1" t="s">
        <v>60</v>
      </c>
      <c r="C9" s="13" t="s">
        <v>61</v>
      </c>
      <c r="D9" s="13"/>
      <c r="E9" s="10">
        <f>SUMIFS(出入庫!F:F, 出入庫!E:E, "出庫", 出入庫!B:B, 表格2_7[[#This Row],[料號]], 出入庫!G:G, "線上") - SUMIFS(出入庫!F:F, 出入庫!E:E, "入庫", 出入庫!B:B, 表格2_7[[#This Row],[料號]], 出入庫!G:G, "線上")</f>
        <v>5</v>
      </c>
      <c r="F9" s="14"/>
      <c r="G9" s="14"/>
      <c r="H9" s="15"/>
      <c r="I9" s="23"/>
    </row>
    <row r="10" spans="1:9" ht="15.75">
      <c r="A10" s="18">
        <v>990000000004</v>
      </c>
      <c r="B10" s="1" t="s">
        <v>63</v>
      </c>
      <c r="C10" s="13" t="s">
        <v>64</v>
      </c>
      <c r="D10" s="13"/>
      <c r="E10" s="10">
        <f>SUMIFS(出入庫!F:F, 出入庫!E:E, "出庫", 出入庫!B:B, 表格2_7[[#This Row],[料號]], 出入庫!G:G, "線上") - SUMIFS(出入庫!F:F, 出入庫!E:E, "入庫", 出入庫!B:B, 表格2_7[[#This Row],[料號]], 出入庫!G:G, "線上")</f>
        <v>25</v>
      </c>
      <c r="F10" s="14"/>
      <c r="G10" s="14"/>
      <c r="H10" s="15"/>
      <c r="I10" s="23"/>
    </row>
    <row r="11" spans="1:9" ht="15.75">
      <c r="A11" s="18">
        <v>315600602000</v>
      </c>
      <c r="B11" s="1" t="s">
        <v>65</v>
      </c>
      <c r="C11" s="13" t="s">
        <v>66</v>
      </c>
      <c r="D11" s="13"/>
      <c r="E11" s="10">
        <f>SUMIFS(出入庫!F:F, 出入庫!E:E, "出庫", 出入庫!B:B, 表格2_7[[#This Row],[料號]], 出入庫!G:G, "線上") - SUMIFS(出入庫!F:F, 出入庫!E:E, "入庫", 出入庫!B:B, 表格2_7[[#This Row],[料號]], 出入庫!G:G, "線上")</f>
        <v>11</v>
      </c>
      <c r="F11" s="14"/>
      <c r="G11" s="14"/>
      <c r="H11" s="15"/>
      <c r="I11" s="23"/>
    </row>
    <row r="12" spans="1:9" ht="15.75">
      <c r="A12" s="18">
        <v>315600716001</v>
      </c>
      <c r="B12" s="1" t="s">
        <v>67</v>
      </c>
      <c r="C12" s="13" t="s">
        <v>68</v>
      </c>
      <c r="D12" s="13"/>
      <c r="E12" s="10">
        <f>SUMIFS(出入庫!F:F, 出入庫!E:E, "出庫", 出入庫!B:B, 表格2_7[[#This Row],[料號]], 出入庫!G:G, "線上") - SUMIFS(出入庫!F:F, 出入庫!E:E, "入庫", 出入庫!B:B, 表格2_7[[#This Row],[料號]], 出入庫!G:G, "線上")</f>
        <v>83</v>
      </c>
      <c r="F12" s="14"/>
      <c r="G12" s="14"/>
      <c r="H12" s="15"/>
      <c r="I12" s="23"/>
    </row>
    <row r="13" spans="1:9" ht="16.149999999999999">
      <c r="A13" s="18">
        <v>315600850000</v>
      </c>
      <c r="B13" s="1" t="s">
        <v>88</v>
      </c>
      <c r="C13" s="13" t="s">
        <v>90</v>
      </c>
      <c r="D13" s="13"/>
      <c r="E13" s="10">
        <f>SUMIFS(出入庫!F:F, 出入庫!E:E, "出庫", 出入庫!B:B, 表格2_7[[#This Row],[料號]], 出入庫!G:G, "線上") - SUMIFS(出入庫!F:F, 出入庫!E:E, "入庫", 出入庫!B:B, 表格2_7[[#This Row],[料號]], 出入庫!G:G, "線上")</f>
        <v>7</v>
      </c>
      <c r="F13" s="14"/>
      <c r="G13" s="14"/>
      <c r="H13" s="15"/>
      <c r="I13" s="23"/>
    </row>
    <row r="14" spans="1:9" ht="15.75">
      <c r="A14" s="18">
        <v>315600771000</v>
      </c>
      <c r="B14" s="1" t="s">
        <v>91</v>
      </c>
      <c r="C14" s="13" t="s">
        <v>92</v>
      </c>
      <c r="D14" s="13"/>
      <c r="E14" s="10">
        <f>SUMIFS(出入庫!F:F, 出入庫!E:E, "出庫", 出入庫!B:B, 表格2_7[[#This Row],[料號]], 出入庫!G:G, "線上") - SUMIFS(出入庫!F:F, 出入庫!E:E, "入庫", 出入庫!B:B, 表格2_7[[#This Row],[料號]], 出入庫!G:G, "線上")</f>
        <v>38</v>
      </c>
      <c r="F14" s="14"/>
      <c r="G14" s="14"/>
      <c r="H14" s="15"/>
      <c r="I14" s="23"/>
    </row>
    <row r="15" spans="1:9" ht="15.75">
      <c r="A15" s="18">
        <v>299900092003</v>
      </c>
      <c r="B15" s="1" t="s">
        <v>96</v>
      </c>
      <c r="C15" s="13" t="s">
        <v>97</v>
      </c>
      <c r="D15" s="13"/>
      <c r="E15" s="10">
        <f>SUMIFS(出入庫!F:F, 出入庫!E:E, "出庫", 出入庫!B:B, 表格2_7[[#This Row],[料號]], 出入庫!G:G, "線上") - SUMIFS(出入庫!F:F, 出入庫!E:E, "入庫", 出入庫!B:B, 表格2_7[[#This Row],[料號]], 出入庫!G:G, "線上")</f>
        <v>5</v>
      </c>
      <c r="F15" s="14"/>
      <c r="G15" s="14"/>
      <c r="H15" s="15"/>
      <c r="I15" s="23"/>
    </row>
    <row r="16" spans="1:9" ht="15.75">
      <c r="A16" s="18">
        <v>315600881002</v>
      </c>
      <c r="B16" s="1" t="s">
        <v>99</v>
      </c>
      <c r="C16" s="13" t="s">
        <v>100</v>
      </c>
      <c r="D16" s="13"/>
      <c r="E16" s="10">
        <f>SUMIFS(出入庫!F:F, 出入庫!E:E, "出庫", 出入庫!B:B, 表格2_7[[#This Row],[料號]], 出入庫!G:G, "線上") - SUMIFS(出入庫!F:F, 出入庫!E:E, "入庫", 出入庫!B:B, 表格2_7[[#This Row],[料號]], 出入庫!G:G, "線上")</f>
        <v>63</v>
      </c>
      <c r="F16" s="14"/>
      <c r="G16" s="14"/>
      <c r="H16" s="15"/>
      <c r="I16" s="23"/>
    </row>
    <row r="17" spans="1:9" ht="15.75">
      <c r="A17" s="18">
        <v>315600917002</v>
      </c>
      <c r="B17" s="1" t="s">
        <v>102</v>
      </c>
      <c r="C17" s="13" t="s">
        <v>103</v>
      </c>
      <c r="D17" s="13"/>
      <c r="E17" s="10">
        <f>SUMIFS(出入庫!F:F, 出入庫!E:E, "出庫", 出入庫!B:B, 表格2_7[[#This Row],[料號]], 出入庫!G:G, "線上") - SUMIFS(出入庫!F:F, 出入庫!E:E, "入庫", 出入庫!B:B, 表格2_7[[#This Row],[料號]], 出入庫!G:G, "線上")</f>
        <v>41</v>
      </c>
      <c r="F17" s="14"/>
      <c r="G17" s="14"/>
      <c r="H17" s="15"/>
      <c r="I17" s="23"/>
    </row>
    <row r="18" spans="1:9" ht="15.75">
      <c r="A18" s="18">
        <v>990000000006</v>
      </c>
      <c r="B18" s="1" t="s">
        <v>106</v>
      </c>
      <c r="C18" s="13" t="s">
        <v>107</v>
      </c>
      <c r="D18" s="13"/>
      <c r="E18" s="10">
        <f>SUMIFS(出入庫!F:F, 出入庫!E:E, "出庫", 出入庫!B:B, 表格2_7[[#This Row],[料號]], 出入庫!G:G, "線上") - SUMIFS(出入庫!F:F, 出入庫!E:E, "入庫", 出入庫!B:B, 表格2_7[[#This Row],[料號]], 出入庫!G:G, "線上")</f>
        <v>65</v>
      </c>
      <c r="F18" s="14"/>
      <c r="G18" s="14"/>
      <c r="H18" s="15"/>
      <c r="I18" s="23"/>
    </row>
    <row r="19" spans="1:9" ht="15.75">
      <c r="A19" s="18">
        <v>990000000007</v>
      </c>
      <c r="B19" s="1" t="s">
        <v>115</v>
      </c>
      <c r="C19" s="13" t="s">
        <v>115</v>
      </c>
      <c r="D19" s="13"/>
      <c r="E19" s="10">
        <f>SUMIFS(出入庫!F:F, 出入庫!E:E, "出庫", 出入庫!B:B, 表格2_7[[#This Row],[料號]], 出入庫!G:G, "線上") - SUMIFS(出入庫!F:F, 出入庫!E:E, "入庫", 出入庫!B:B, 表格2_7[[#This Row],[料號]], 出入庫!G:G, "線上")</f>
        <v>2</v>
      </c>
      <c r="F19" s="14"/>
      <c r="G19" s="14"/>
      <c r="H19" s="15"/>
      <c r="I19" s="23"/>
    </row>
    <row r="20" spans="1:9" ht="15.75">
      <c r="A20" s="18">
        <v>315600895002</v>
      </c>
      <c r="B20" s="1" t="s">
        <v>116</v>
      </c>
      <c r="C20" s="13" t="s">
        <v>117</v>
      </c>
      <c r="D20" s="13"/>
      <c r="E20" s="10">
        <f>SUMIFS(出入庫!F:F, 出入庫!E:E, "出庫", 出入庫!B:B, 表格2_7[[#This Row],[料號]], 出入庫!G:G, "線上") - SUMIFS(出入庫!F:F, 出入庫!E:E, "入庫", 出入庫!B:B, 表格2_7[[#This Row],[料號]], 出入庫!G:G, "線上")</f>
        <v>21</v>
      </c>
      <c r="F20" s="14"/>
      <c r="G20" s="14"/>
      <c r="H20" s="15"/>
      <c r="I20" s="23"/>
    </row>
    <row r="21" spans="1:9" ht="15.75">
      <c r="A21" s="18">
        <v>990000000008</v>
      </c>
      <c r="B21" s="1" t="s">
        <v>120</v>
      </c>
      <c r="C21" s="13" t="s">
        <v>121</v>
      </c>
      <c r="D21" s="13"/>
      <c r="E21" s="10">
        <f>SUMIFS(出入庫!F:F, 出入庫!E:E, "出庫", 出入庫!B:B, 表格2_7[[#This Row],[料號]], 出入庫!G:G, "線上") - SUMIFS(出入庫!F:F, 出入庫!E:E, "入庫", 出入庫!B:B, 表格2_7[[#This Row],[料號]], 出入庫!G:G, "線上")</f>
        <v>5</v>
      </c>
      <c r="F21" s="14"/>
      <c r="G21" s="14"/>
      <c r="H21" s="15"/>
      <c r="I21" s="23"/>
    </row>
    <row r="22" spans="1:9" ht="15.75">
      <c r="A22" s="18">
        <v>990000000009</v>
      </c>
      <c r="B22" s="1" t="s">
        <v>123</v>
      </c>
      <c r="C22" s="13" t="s">
        <v>123</v>
      </c>
      <c r="D22" s="13"/>
      <c r="E22" s="10">
        <f>SUMIFS(出入庫!F:F, 出入庫!E:E, "出庫", 出入庫!B:B, 表格2_7[[#This Row],[料號]], 出入庫!G:G, "線上") - SUMIFS(出入庫!F:F, 出入庫!E:E, "入庫", 出入庫!B:B, 表格2_7[[#This Row],[料號]], 出入庫!G:G, "線上")</f>
        <v>12</v>
      </c>
      <c r="F22" s="14"/>
      <c r="G22" s="14"/>
      <c r="H22" s="15"/>
      <c r="I22" s="23"/>
    </row>
    <row r="23" spans="1:9" ht="15.75">
      <c r="A23" s="18">
        <v>315600735000</v>
      </c>
      <c r="B23" s="1" t="s">
        <v>124</v>
      </c>
      <c r="C23" s="13" t="s">
        <v>125</v>
      </c>
      <c r="D23" s="13"/>
      <c r="E23" s="10">
        <f>SUMIFS(出入庫!F:F, 出入庫!E:E, "出庫", 出入庫!B:B, 表格2_7[[#This Row],[料號]], 出入庫!G:G, "線上") - SUMIFS(出入庫!F:F, 出入庫!E:E, "入庫", 出入庫!B:B, 表格2_7[[#This Row],[料號]], 出入庫!G:G, "線上")</f>
        <v>85</v>
      </c>
      <c r="F23" s="14"/>
      <c r="G23" s="14"/>
      <c r="H23" s="15"/>
      <c r="I23" s="23"/>
    </row>
    <row r="24" spans="1:9" ht="15.75">
      <c r="A24" s="18">
        <v>990000000010</v>
      </c>
      <c r="B24" s="1" t="s">
        <v>128</v>
      </c>
      <c r="C24" s="13" t="s">
        <v>128</v>
      </c>
      <c r="D24" s="13"/>
      <c r="E24" s="10">
        <f>SUMIFS(出入庫!F:F, 出入庫!E:E, "出庫", 出入庫!B:B, 表格2_7[[#This Row],[料號]], 出入庫!G:G, "線上") - SUMIFS(出入庫!F:F, 出入庫!E:E, "入庫", 出入庫!B:B, 表格2_7[[#This Row],[料號]], 出入庫!G:G, "線上")</f>
        <v>14</v>
      </c>
      <c r="F24" s="14"/>
      <c r="G24" s="14"/>
      <c r="H24" s="15"/>
      <c r="I24" s="23"/>
    </row>
    <row r="25" spans="1:9" ht="15.75">
      <c r="A25" s="18">
        <v>315600794000</v>
      </c>
      <c r="B25" s="1" t="s">
        <v>134</v>
      </c>
      <c r="C25" s="13" t="s">
        <v>135</v>
      </c>
      <c r="D25" s="13"/>
      <c r="E25" s="10">
        <f>SUMIFS(出入庫!F:F, 出入庫!E:E, "出庫", 出入庫!B:B, 表格2_7[[#This Row],[料號]], 出入庫!G:G, "線上") - SUMIFS(出入庫!F:F, 出入庫!E:E, "入庫", 出入庫!B:B, 表格2_7[[#This Row],[料號]], 出入庫!G:G, "線上")</f>
        <v>29</v>
      </c>
      <c r="F25" s="14"/>
      <c r="G25" s="14"/>
      <c r="H25" s="15"/>
      <c r="I25" s="23"/>
    </row>
    <row r="26" spans="1:9" ht="15.75">
      <c r="A26" s="18">
        <v>319600038005</v>
      </c>
      <c r="B26" s="1" t="s">
        <v>136</v>
      </c>
      <c r="C26" s="13" t="s">
        <v>137</v>
      </c>
      <c r="D26" s="13"/>
      <c r="E26" s="10">
        <f>SUMIFS(出入庫!F:F, 出入庫!E:E, "出庫", 出入庫!B:B, 表格2_7[[#This Row],[料號]], 出入庫!G:G, "線上") - SUMIFS(出入庫!F:F, 出入庫!E:E, "入庫", 出入庫!B:B, 表格2_7[[#This Row],[料號]], 出入庫!G:G, "線上")</f>
        <v>12</v>
      </c>
      <c r="F26" s="14"/>
      <c r="G26" s="14"/>
      <c r="H26" s="15"/>
      <c r="I26" s="23"/>
    </row>
    <row r="27" spans="1:9" ht="15.75">
      <c r="A27" s="18">
        <v>319000056004</v>
      </c>
      <c r="B27" s="1" t="s">
        <v>139</v>
      </c>
      <c r="C27" s="13" t="s">
        <v>140</v>
      </c>
      <c r="D27" s="13"/>
      <c r="E27" s="10">
        <f>SUMIFS(出入庫!F:F, 出入庫!E:E, "出庫", 出入庫!B:B, 表格2_7[[#This Row],[料號]], 出入庫!G:G, "線上") - SUMIFS(出入庫!F:F, 出入庫!E:E, "入庫", 出入庫!B:B, 表格2_7[[#This Row],[料號]], 出入庫!G:G, "線上")</f>
        <v>29</v>
      </c>
      <c r="F27" s="14"/>
      <c r="G27" s="14"/>
      <c r="H27" s="15"/>
      <c r="I27" s="23"/>
    </row>
    <row r="28" spans="1:9" ht="15.75">
      <c r="A28" s="18">
        <v>315600415000</v>
      </c>
      <c r="B28" s="1" t="s">
        <v>142</v>
      </c>
      <c r="C28" s="13" t="s">
        <v>143</v>
      </c>
      <c r="D28" s="13"/>
      <c r="E28" s="10">
        <f>SUMIFS(出入庫!F:F, 出入庫!E:E, "出庫", 出入庫!B:B, 表格2_7[[#This Row],[料號]], 出入庫!G:G, "線上") - SUMIFS(出入庫!F:F, 出入庫!E:E, "入庫", 出入庫!B:B, 表格2_7[[#This Row],[料號]], 出入庫!G:G, "線上")</f>
        <v>29</v>
      </c>
      <c r="F28" s="14"/>
      <c r="G28" s="14"/>
      <c r="H28" s="15"/>
      <c r="I28" s="23"/>
    </row>
    <row r="29" spans="1:9" ht="15.75">
      <c r="A29" s="18">
        <v>319100057001</v>
      </c>
      <c r="B29" s="1" t="s">
        <v>145</v>
      </c>
      <c r="C29" s="13" t="s">
        <v>146</v>
      </c>
      <c r="D29" s="13"/>
      <c r="E29" s="10">
        <f>SUMIFS(出入庫!F:F, 出入庫!E:E, "出庫", 出入庫!B:B, 表格2_7[[#This Row],[料號]], 出入庫!G:G, "線上") - SUMIFS(出入庫!F:F, 出入庫!E:E, "入庫", 出入庫!B:B, 表格2_7[[#This Row],[料號]], 出入庫!G:G, "線上")</f>
        <v>57</v>
      </c>
      <c r="F29" s="14"/>
      <c r="G29" s="14"/>
      <c r="H29" s="15"/>
      <c r="I29" s="23"/>
    </row>
    <row r="30" spans="1:9" ht="15.75">
      <c r="A30" s="18">
        <v>315601033002</v>
      </c>
      <c r="B30" s="1" t="s">
        <v>148</v>
      </c>
      <c r="C30" s="13" t="s">
        <v>149</v>
      </c>
      <c r="D30" s="13"/>
      <c r="E30" s="10">
        <f>SUMIFS(出入庫!F:F, 出入庫!E:E, "出庫", 出入庫!B:B, 表格2_7[[#This Row],[料號]], 出入庫!G:G, "線上") - SUMIFS(出入庫!F:F, 出入庫!E:E, "入庫", 出入庫!B:B, 表格2_7[[#This Row],[料號]], 出入庫!G:G, "線上")</f>
        <v>34</v>
      </c>
      <c r="F30" s="14"/>
      <c r="G30" s="14"/>
      <c r="H30" s="15"/>
      <c r="I30" s="23"/>
    </row>
    <row r="31" spans="1:9" ht="15.75">
      <c r="A31" s="18">
        <v>315601052000</v>
      </c>
      <c r="B31" s="1" t="s">
        <v>151</v>
      </c>
      <c r="C31" s="13" t="s">
        <v>152</v>
      </c>
      <c r="D31" s="13"/>
      <c r="E31" s="10">
        <f>SUMIFS(出入庫!F:F, 出入庫!E:E, "出庫", 出入庫!B:B, 表格2_7[[#This Row],[料號]], 出入庫!G:G, "線上") - SUMIFS(出入庫!F:F, 出入庫!E:E, "入庫", 出入庫!B:B, 表格2_7[[#This Row],[料號]], 出入庫!G:G, "線上")</f>
        <v>12</v>
      </c>
      <c r="F31" s="14"/>
      <c r="G31" s="14"/>
      <c r="H31" s="15"/>
      <c r="I31" s="23"/>
    </row>
    <row r="32" spans="1:9" ht="15.75">
      <c r="A32" s="18">
        <v>315601040000</v>
      </c>
      <c r="B32" s="1" t="s">
        <v>154</v>
      </c>
      <c r="C32" s="13" t="s">
        <v>155</v>
      </c>
      <c r="D32" s="13"/>
      <c r="E32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107</v>
      </c>
      <c r="F32" s="14"/>
      <c r="G32" s="14"/>
      <c r="H32" s="15"/>
      <c r="I32" s="23"/>
    </row>
    <row r="33" spans="1:9" ht="15.75">
      <c r="A33" s="18">
        <v>315600660000</v>
      </c>
      <c r="B33" s="1" t="s">
        <v>34</v>
      </c>
      <c r="C33" s="13" t="s">
        <v>157</v>
      </c>
      <c r="D33" s="13"/>
      <c r="E33" s="10">
        <f>SUMIFS(出入庫!F:F, 出入庫!E:E, "出庫", 出入庫!B:B, 表格2_7[[#This Row],[料號]], 出入庫!G:G, "線上") - SUMIFS(出入庫!F:F, 出入庫!E:E, "入庫", 出入庫!B:B, 表格2_7[[#This Row],[料號]], 出入庫!G:G, "線上")</f>
        <v>24</v>
      </c>
      <c r="F33" s="14"/>
      <c r="G33" s="14"/>
      <c r="H33" s="15"/>
      <c r="I33" s="23"/>
    </row>
    <row r="34" spans="1:9" ht="15.75">
      <c r="A34" s="18">
        <v>315601026000</v>
      </c>
      <c r="B34" s="1" t="s">
        <v>158</v>
      </c>
      <c r="C34" s="13" t="s">
        <v>159</v>
      </c>
      <c r="D34" s="13"/>
      <c r="E34" s="10">
        <f>SUMIFS(出入庫!F:F, 出入庫!E:E, "出庫", 出入庫!B:B, 表格2_7[[#This Row],[料號]], 出入庫!G:G, "線上") - SUMIFS(出入庫!F:F, 出入庫!E:E, "入庫", 出入庫!B:B, 表格2_7[[#This Row],[料號]], 出入庫!G:G, "線上")</f>
        <v>21</v>
      </c>
      <c r="F34" s="14"/>
      <c r="G34" s="14"/>
      <c r="H34" s="15"/>
      <c r="I34" s="23"/>
    </row>
    <row r="35" spans="1:9" ht="15.75">
      <c r="A35" s="18">
        <v>315600742002</v>
      </c>
      <c r="B35" s="1" t="s">
        <v>160</v>
      </c>
      <c r="C35" s="13" t="s">
        <v>161</v>
      </c>
      <c r="D35" s="13"/>
      <c r="E35" s="10">
        <f>SUMIFS(出入庫!F:F, 出入庫!E:E, "出庫", 出入庫!B:B, 表格2_7[[#This Row],[料號]], 出入庫!G:G, "線上") - SUMIFS(出入庫!F:F, 出入庫!E:E, "入庫", 出入庫!B:B, 表格2_7[[#This Row],[料號]], 出入庫!G:G, "線上")</f>
        <v>144</v>
      </c>
      <c r="F35" s="14"/>
      <c r="G35" s="14"/>
      <c r="H35" s="15"/>
      <c r="I35" s="23"/>
    </row>
    <row r="36" spans="1:9" ht="15.75">
      <c r="A36" s="18">
        <v>315600732001</v>
      </c>
      <c r="B36" s="1" t="s">
        <v>163</v>
      </c>
      <c r="C36" s="13" t="s">
        <v>164</v>
      </c>
      <c r="D36" s="13"/>
      <c r="E36" s="10">
        <f>SUMIFS(出入庫!F:F, 出入庫!E:E, "出庫", 出入庫!B:B, 表格2_7[[#This Row],[料號]], 出入庫!G:G, "線上") - SUMIFS(出入庫!F:F, 出入庫!E:E, "入庫", 出入庫!B:B, 表格2_7[[#This Row],[料號]], 出入庫!G:G, "線上")</f>
        <v>34</v>
      </c>
      <c r="F36" s="14"/>
      <c r="G36" s="14"/>
      <c r="H36" s="15"/>
      <c r="I36" s="23"/>
    </row>
    <row r="37" spans="1:9" ht="15.75">
      <c r="A37" s="18">
        <v>319100050000</v>
      </c>
      <c r="B37" s="1" t="s">
        <v>165</v>
      </c>
      <c r="C37" s="13" t="s">
        <v>166</v>
      </c>
      <c r="D37" s="13"/>
      <c r="E37" s="10">
        <f>SUMIFS(出入庫!F:F, 出入庫!E:E, "出庫", 出入庫!B:B, 表格2_7[[#This Row],[料號]], 出入庫!G:G, "線上") - SUMIFS(出入庫!F:F, 出入庫!E:E, "入庫", 出入庫!B:B, 表格2_7[[#This Row],[料號]], 出入庫!G:G, "線上")</f>
        <v>20</v>
      </c>
      <c r="F37" s="14"/>
      <c r="G37" s="14"/>
      <c r="H37" s="15"/>
      <c r="I37" s="23"/>
    </row>
    <row r="38" spans="1:9" ht="15.75">
      <c r="A38" s="18">
        <v>315600635001</v>
      </c>
      <c r="B38" s="1" t="s">
        <v>167</v>
      </c>
      <c r="C38" s="13" t="s">
        <v>168</v>
      </c>
      <c r="D38" s="13"/>
      <c r="E38" s="10">
        <f>SUMIFS(出入庫!F:F, 出入庫!E:E, "出庫", 出入庫!B:B, 表格2_7[[#This Row],[料號]], 出入庫!G:G, "線上") - SUMIFS(出入庫!F:F, 出入庫!E:E, "入庫", 出入庫!B:B, 表格2_7[[#This Row],[料號]], 出入庫!G:G, "線上")</f>
        <v>219</v>
      </c>
      <c r="F38" s="14"/>
      <c r="G38" s="14"/>
      <c r="H38" s="15"/>
      <c r="I38" s="23"/>
    </row>
    <row r="39" spans="1:9" ht="15.75">
      <c r="A39" s="18">
        <v>315600637000</v>
      </c>
      <c r="B39" s="1" t="s">
        <v>170</v>
      </c>
      <c r="C39" s="13" t="s">
        <v>171</v>
      </c>
      <c r="D39" s="13"/>
      <c r="E39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104</v>
      </c>
      <c r="F39" s="14"/>
      <c r="G39" s="14"/>
      <c r="H39" s="15"/>
      <c r="I39" s="23"/>
    </row>
    <row r="40" spans="1:9" ht="15.75">
      <c r="A40" s="18">
        <v>990000000001</v>
      </c>
      <c r="B40" s="1" t="s">
        <v>174</v>
      </c>
      <c r="C40" s="13" t="s">
        <v>297</v>
      </c>
      <c r="D40" s="13"/>
      <c r="E40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100</v>
      </c>
      <c r="F40" s="14"/>
      <c r="G40" s="14"/>
      <c r="H40" s="15"/>
      <c r="I40" s="23"/>
    </row>
    <row r="41" spans="1:9" ht="16.149999999999999">
      <c r="A41" s="18">
        <v>990000000002</v>
      </c>
      <c r="B41" s="1" t="s">
        <v>178</v>
      </c>
      <c r="C41" s="30" t="s">
        <v>184</v>
      </c>
      <c r="D41" s="30"/>
      <c r="E41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</v>
      </c>
      <c r="F41" s="14"/>
      <c r="G41" s="14"/>
      <c r="H41" s="15"/>
      <c r="I41" s="23"/>
    </row>
    <row r="42" spans="1:9" ht="15.75">
      <c r="A42" s="18">
        <v>315600998000</v>
      </c>
      <c r="B42" s="1" t="s">
        <v>154</v>
      </c>
      <c r="C42" s="13" t="s">
        <v>179</v>
      </c>
      <c r="D42" s="13"/>
      <c r="E42" s="10">
        <f>SUMIFS(出入庫!F:F, 出入庫!E:E, "出庫", 出入庫!B:B, 表格2_7[[#This Row],[料號]], 出入庫!G:G, "線上") - SUMIFS(出入庫!F:F, 出入庫!E:E, "入庫", 出入庫!B:B, 表格2_7[[#This Row],[料號]], 出入庫!G:G, "線上")</f>
        <v>61</v>
      </c>
      <c r="F42" s="14"/>
      <c r="G42" s="14"/>
      <c r="H42" s="15"/>
      <c r="I42" s="23"/>
    </row>
    <row r="43" spans="1:9" ht="15.75">
      <c r="A43" s="18">
        <v>315600218000</v>
      </c>
      <c r="B43" s="1" t="s">
        <v>181</v>
      </c>
      <c r="C43" s="13" t="s">
        <v>182</v>
      </c>
      <c r="D43" s="13"/>
      <c r="E43" s="10">
        <f>SUMIFS(出入庫!F:F, 出入庫!E:E, "出庫", 出入庫!B:B, 表格2_7[[#This Row],[料號]], 出入庫!G:G, "線上") - SUMIFS(出入庫!F:F, 出入庫!E:E, "入庫", 出入庫!B:B, 表格2_7[[#This Row],[料號]], 出入庫!G:G, "線上")</f>
        <v>21</v>
      </c>
      <c r="F43" s="14"/>
      <c r="G43" s="14"/>
      <c r="H43" s="15"/>
      <c r="I43" s="23"/>
    </row>
    <row r="44" spans="1:9" ht="15.75">
      <c r="A44" s="18">
        <v>315601016001</v>
      </c>
      <c r="B44" s="1" t="s">
        <v>186</v>
      </c>
      <c r="C44" s="13" t="s">
        <v>188</v>
      </c>
      <c r="D44" s="13"/>
      <c r="E44" s="10">
        <f>SUMIFS(出入庫!F:F, 出入庫!E:E, "出庫", 出入庫!B:B, 表格2_7[[#This Row],[料號]], 出入庫!G:G, "線上") - SUMIFS(出入庫!F:F, 出入庫!E:E, "入庫", 出入庫!B:B, 表格2_7[[#This Row],[料號]], 出入庫!G:G, "線上")</f>
        <v>50</v>
      </c>
      <c r="F44" s="14"/>
      <c r="G44" s="14"/>
      <c r="H44" s="15"/>
      <c r="I44" s="23"/>
    </row>
    <row r="45" spans="1:9" ht="15.75">
      <c r="A45" s="18">
        <v>990000000003</v>
      </c>
      <c r="B45" s="1" t="s">
        <v>191</v>
      </c>
      <c r="C45" s="13" t="s">
        <v>188</v>
      </c>
      <c r="D45" s="13"/>
      <c r="E45" s="10">
        <f>SUMIFS(出入庫!F:F, 出入庫!E:E, "出庫", 出入庫!B:B, 表格2_7[[#This Row],[料號]], 出入庫!G:G, "線上") - SUMIFS(出入庫!F:F, 出入庫!E:E, "入庫", 出入庫!B:B, 表格2_7[[#This Row],[料號]], 出入庫!G:G, "線上")</f>
        <v>12</v>
      </c>
      <c r="F45" s="14"/>
      <c r="G45" s="14"/>
      <c r="H45" s="15"/>
      <c r="I45" s="23"/>
    </row>
    <row r="46" spans="1:9" ht="15.75">
      <c r="A46" s="18">
        <v>319600045006</v>
      </c>
      <c r="B46" s="1" t="s">
        <v>192</v>
      </c>
      <c r="C46" s="13" t="s">
        <v>193</v>
      </c>
      <c r="D46" s="13"/>
      <c r="E46" s="10">
        <f>SUMIFS(出入庫!F:F, 出入庫!E:E, "出庫", 出入庫!B:B, 表格2_7[[#This Row],[料號]], 出入庫!G:G, "線上") - SUMIFS(出入庫!F:F, 出入庫!E:E, "入庫", 出入庫!B:B, 表格2_7[[#This Row],[料號]], 出入庫!G:G, "線上")</f>
        <v>234</v>
      </c>
      <c r="F46" s="14"/>
      <c r="G46" s="14"/>
      <c r="H46" s="15"/>
      <c r="I46" s="23"/>
    </row>
    <row r="47" spans="1:9" ht="15.75">
      <c r="A47" s="18">
        <v>990000000005</v>
      </c>
      <c r="B47" s="1" t="s">
        <v>199</v>
      </c>
      <c r="C47" s="13" t="s">
        <v>200</v>
      </c>
      <c r="D47" s="13"/>
      <c r="E47" s="10">
        <f>SUMIFS(出入庫!F:F, 出入庫!E:E, "出庫", 出入庫!B:B, 表格2_7[[#This Row],[料號]], 出入庫!G:G, "線上") - SUMIFS(出入庫!F:F, 出入庫!E:E, "入庫", 出入庫!B:B, 表格2_7[[#This Row],[料號]], 出入庫!G:G, "線上")</f>
        <v>5</v>
      </c>
      <c r="F47" s="14"/>
      <c r="G47" s="14"/>
      <c r="H47" s="15"/>
      <c r="I47" s="23"/>
    </row>
    <row r="48" spans="1:9" ht="15.75">
      <c r="A48" s="18">
        <v>315600715000</v>
      </c>
      <c r="B48" s="1" t="s">
        <v>201</v>
      </c>
      <c r="C48" s="13" t="s">
        <v>202</v>
      </c>
      <c r="D48" s="13"/>
      <c r="E48" s="10">
        <f>SUMIFS(出入庫!F:F, 出入庫!E:E, "出庫", 出入庫!B:B, 表格2_7[[#This Row],[料號]], 出入庫!G:G, "線上") - SUMIFS(出入庫!F:F, 出入庫!E:E, "入庫", 出入庫!B:B, 表格2_7[[#This Row],[料號]], 出入庫!G:G, "線上")</f>
        <v>126</v>
      </c>
      <c r="F48" s="14"/>
      <c r="G48" s="14"/>
      <c r="H48" s="15"/>
      <c r="I48" s="23"/>
    </row>
    <row r="49" spans="1:9" ht="15.75">
      <c r="A49" s="18">
        <v>319000066000</v>
      </c>
      <c r="B49" s="1" t="s">
        <v>204</v>
      </c>
      <c r="C49" s="13" t="s">
        <v>205</v>
      </c>
      <c r="D49" s="13"/>
      <c r="E49" s="10">
        <f>SUMIFS(出入庫!F:F, 出入庫!E:E, "出庫", 出入庫!B:B, 表格2_7[[#This Row],[料號]], 出入庫!G:G, "線上") - SUMIFS(出入庫!F:F, 出入庫!E:E, "入庫", 出入庫!B:B, 表格2_7[[#This Row],[料號]], 出入庫!G:G, "線上")</f>
        <v>9</v>
      </c>
      <c r="F49" s="14"/>
      <c r="G49" s="14"/>
      <c r="H49" s="15"/>
      <c r="I49" s="23"/>
    </row>
    <row r="50" spans="1:9" ht="15.75">
      <c r="A50" s="18">
        <v>315601039000</v>
      </c>
      <c r="B50" s="1" t="s">
        <v>209</v>
      </c>
      <c r="C50" s="13" t="s">
        <v>210</v>
      </c>
      <c r="D50" s="13"/>
      <c r="E50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103</v>
      </c>
      <c r="F50" s="14"/>
      <c r="G50" s="14"/>
      <c r="H50" s="15"/>
      <c r="I50" s="23"/>
    </row>
    <row r="51" spans="1:9" ht="15.75">
      <c r="A51" s="18">
        <v>315600849000</v>
      </c>
      <c r="B51" s="1" t="s">
        <v>211</v>
      </c>
      <c r="C51" s="13" t="s">
        <v>212</v>
      </c>
      <c r="D51" s="13"/>
      <c r="E51" s="10">
        <f>SUMIFS(出入庫!F:F, 出入庫!E:E, "出庫", 出入庫!B:B, 表格2_7[[#This Row],[料號]], 出入庫!G:G, "線上") - SUMIFS(出入庫!F:F, 出入庫!E:E, "入庫", 出入庫!B:B, 表格2_7[[#This Row],[料號]], 出入庫!G:G, "線上")</f>
        <v>71</v>
      </c>
      <c r="F51" s="14"/>
      <c r="G51" s="14"/>
      <c r="H51" s="15"/>
      <c r="I51" s="23"/>
    </row>
    <row r="52" spans="1:9" ht="15.75">
      <c r="A52" s="18">
        <v>315600737000</v>
      </c>
      <c r="B52" s="1" t="s">
        <v>214</v>
      </c>
      <c r="C52" s="13" t="s">
        <v>215</v>
      </c>
      <c r="D52" s="13"/>
      <c r="E52" s="10">
        <f>SUMIFS(出入庫!F:F, 出入庫!E:E, "出庫", 出入庫!B:B, 表格2_7[[#This Row],[料號]], 出入庫!G:G, "線上") - SUMIFS(出入庫!F:F, 出入庫!E:E, "入庫", 出入庫!B:B, 表格2_7[[#This Row],[料號]], 出入庫!G:G, "線上")</f>
        <v>43</v>
      </c>
      <c r="F52" s="14"/>
      <c r="G52" s="14"/>
      <c r="H52" s="15"/>
      <c r="I52" s="23"/>
    </row>
    <row r="53" spans="1:9" ht="15.75">
      <c r="A53" s="18">
        <v>315600954000</v>
      </c>
      <c r="B53" s="1" t="s">
        <v>217</v>
      </c>
      <c r="C53" s="13" t="s">
        <v>218</v>
      </c>
      <c r="D53" s="13"/>
      <c r="E53" s="10">
        <f>SUMIFS(出入庫!F:F, 出入庫!E:E, "出庫", 出入庫!B:B, 表格2_7[[#This Row],[料號]], 出入庫!G:G, "線上") - SUMIFS(出入庫!F:F, 出入庫!E:E, "入庫", 出入庫!B:B, 表格2_7[[#This Row],[料號]], 出入庫!G:G, "線上")</f>
        <v>1</v>
      </c>
      <c r="F53" s="14"/>
      <c r="G53" s="14"/>
      <c r="H53" s="15"/>
      <c r="I53" s="23"/>
    </row>
    <row r="54" spans="1:9" ht="15.75">
      <c r="A54" s="18">
        <v>315600831001</v>
      </c>
      <c r="B54" s="1" t="s">
        <v>220</v>
      </c>
      <c r="C54" s="13" t="s">
        <v>221</v>
      </c>
      <c r="D54" s="13"/>
      <c r="E54" s="10">
        <f>SUMIFS(出入庫!F:F, 出入庫!E:E, "出庫", 出入庫!B:B, 表格2_7[[#This Row],[料號]], 出入庫!G:G, "線上") - SUMIFS(出入庫!F:F, 出入庫!E:E, "入庫", 出入庫!B:B, 表格2_7[[#This Row],[料號]], 出入庫!G:G, "線上")</f>
        <v>15</v>
      </c>
      <c r="F54" s="14"/>
      <c r="G54" s="14"/>
      <c r="H54" s="15"/>
      <c r="I54" s="23"/>
    </row>
    <row r="55" spans="1:9" ht="15.75">
      <c r="A55" s="18">
        <v>315600797002</v>
      </c>
      <c r="B55" s="1" t="s">
        <v>226</v>
      </c>
      <c r="C55" s="13" t="s">
        <v>227</v>
      </c>
      <c r="D55" s="13"/>
      <c r="E55" s="10">
        <f>SUMIFS(出入庫!F:F, 出入庫!E:E, "出庫", 出入庫!B:B, 表格2_7[[#This Row],[料號]], 出入庫!G:G, "線上") - SUMIFS(出入庫!F:F, 出入庫!E:E, "入庫", 出入庫!B:B, 表格2_7[[#This Row],[料號]], 出入庫!G:G, "線上")</f>
        <v>38</v>
      </c>
      <c r="F55" s="14"/>
      <c r="G55" s="14"/>
      <c r="H55" s="15"/>
      <c r="I55" s="15"/>
    </row>
    <row r="56" spans="1:9" ht="15.75">
      <c r="A56" s="18">
        <v>315600974001</v>
      </c>
      <c r="B56" s="1" t="s">
        <v>229</v>
      </c>
      <c r="C56" s="13" t="s">
        <v>230</v>
      </c>
      <c r="D56" s="13"/>
      <c r="E56" s="10">
        <f>SUMIFS(出入庫!F:F, 出入庫!E:E, "出庫", 出入庫!B:B, 表格2_7[[#This Row],[料號]], 出入庫!G:G, "線上") - SUMIFS(出入庫!F:F, 出入庫!E:E, "入庫", 出入庫!B:B, 表格2_7[[#This Row],[料號]], 出入庫!G:G, "線上")</f>
        <v>13</v>
      </c>
      <c r="F56" s="14"/>
      <c r="G56" s="14"/>
      <c r="H56" s="15"/>
      <c r="I56" s="15"/>
    </row>
    <row r="57" spans="1:9" ht="15.75">
      <c r="A57" s="18">
        <v>319000077002</v>
      </c>
      <c r="B57" s="1" t="s">
        <v>232</v>
      </c>
      <c r="C57" s="13" t="s">
        <v>233</v>
      </c>
      <c r="D57" s="13"/>
      <c r="E57" s="10">
        <f>SUMIFS(出入庫!F:F, 出入庫!E:E, "出庫", 出入庫!B:B, 表格2_7[[#This Row],[料號]], 出入庫!G:G, "線上") - SUMIFS(出入庫!F:F, 出入庫!E:E, "入庫", 出入庫!B:B, 表格2_7[[#This Row],[料號]], 出入庫!G:G, "線上")</f>
        <v>3</v>
      </c>
      <c r="F57" s="14"/>
      <c r="G57" s="14"/>
      <c r="H57" s="15"/>
      <c r="I57" s="15"/>
    </row>
    <row r="58" spans="1:9" ht="15.75">
      <c r="A58" s="18">
        <v>315600381000</v>
      </c>
      <c r="B58" s="1" t="s">
        <v>235</v>
      </c>
      <c r="C58" s="13" t="s">
        <v>225</v>
      </c>
      <c r="D58" s="13"/>
      <c r="E58" s="10">
        <f>SUMIFS(出入庫!F:F, 出入庫!E:E, "出庫", 出入庫!B:B, 表格2_7[[#This Row],[料號]], 出入庫!G:G, "線上") - SUMIFS(出入庫!F:F, 出入庫!E:E, "入庫", 出入庫!B:B, 表格2_7[[#This Row],[料號]], 出入庫!G:G, "線上")</f>
        <v>363</v>
      </c>
      <c r="F58" s="14"/>
      <c r="G58" s="14"/>
      <c r="H58" s="15"/>
      <c r="I58" s="15"/>
    </row>
    <row r="59" spans="1:9" ht="15.75">
      <c r="A59" s="18">
        <v>315600859000</v>
      </c>
      <c r="B59" s="1" t="s">
        <v>236</v>
      </c>
      <c r="C59" s="13" t="s">
        <v>237</v>
      </c>
      <c r="D59" s="13"/>
      <c r="E59" s="10">
        <f>SUMIFS(出入庫!F:F, 出入庫!E:E, "出庫", 出入庫!B:B, 表格2_7[[#This Row],[料號]], 出入庫!G:G, "線上") - SUMIFS(出入庫!F:F, 出入庫!E:E, "入庫", 出入庫!B:B, 表格2_7[[#This Row],[料號]], 出入庫!G:G, "線上")</f>
        <v>96</v>
      </c>
      <c r="F59" s="14"/>
      <c r="G59" s="14"/>
      <c r="H59" s="15"/>
      <c r="I59" s="15"/>
    </row>
    <row r="60" spans="1:9" ht="15.75">
      <c r="A60" s="18">
        <v>990000000011</v>
      </c>
      <c r="B60" s="1" t="s">
        <v>243</v>
      </c>
      <c r="C60" s="13" t="s">
        <v>244</v>
      </c>
      <c r="D60" s="13"/>
      <c r="E60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60" s="14"/>
      <c r="G60" s="14"/>
      <c r="H60" s="15"/>
      <c r="I60" s="15"/>
    </row>
    <row r="61" spans="1:9" ht="15.75">
      <c r="A61" s="18">
        <v>990000000012</v>
      </c>
      <c r="B61" s="1" t="s">
        <v>245</v>
      </c>
      <c r="C61" s="13" t="s">
        <v>245</v>
      </c>
      <c r="D61" s="13"/>
      <c r="E61" s="10">
        <f>SUMIFS(出入庫!F:F, 出入庫!E:E, "出庫", 出入庫!B:B, 表格2_7[[#This Row],[料號]], 出入庫!G:G, "線上") - SUMIFS(出入庫!F:F, 出入庫!E:E, "入庫", 出入庫!B:B, 表格2_7[[#This Row],[料號]], 出入庫!G:G, "線上")</f>
        <v>35</v>
      </c>
      <c r="F61" s="14"/>
      <c r="G61" s="14"/>
      <c r="H61" s="15"/>
      <c r="I61" s="15"/>
    </row>
    <row r="62" spans="1:9" ht="15.75">
      <c r="A62" s="18">
        <v>319600063003</v>
      </c>
      <c r="B62" s="1" t="s">
        <v>247</v>
      </c>
      <c r="C62" s="13" t="s">
        <v>248</v>
      </c>
      <c r="D62" s="13"/>
      <c r="E62" s="10">
        <f>SUMIFS(出入庫!F:F, 出入庫!E:E, "出庫", 出入庫!B:B, 表格2_7[[#This Row],[料號]], 出入庫!G:G, "線上") - SUMIFS(出入庫!F:F, 出入庫!E:E, "入庫", 出入庫!B:B, 表格2_7[[#This Row],[料號]], 出入庫!G:G, "線上")</f>
        <v>362</v>
      </c>
      <c r="F62" s="14"/>
      <c r="G62" s="14"/>
      <c r="H62" s="15"/>
      <c r="I62" s="15"/>
    </row>
    <row r="63" spans="1:9" ht="15.75">
      <c r="A63" s="18">
        <v>990000000013</v>
      </c>
      <c r="B63" s="1" t="s">
        <v>250</v>
      </c>
      <c r="C63" s="13" t="s">
        <v>250</v>
      </c>
      <c r="D63" s="13"/>
      <c r="E63" s="10">
        <f>SUMIFS(出入庫!F:F, 出入庫!E:E, "出庫", 出入庫!B:B, 表格2_7[[#This Row],[料號]], 出入庫!G:G, "線上") - SUMIFS(出入庫!F:F, 出入庫!E:E, "入庫", 出入庫!B:B, 表格2_7[[#This Row],[料號]], 出入庫!G:G, "線上")</f>
        <v>700</v>
      </c>
      <c r="F63" s="14"/>
      <c r="G63" s="14"/>
      <c r="H63" s="15"/>
      <c r="I63" s="15"/>
    </row>
    <row r="64" spans="1:9" ht="15.75">
      <c r="A64" s="18">
        <v>980000000001</v>
      </c>
      <c r="B64" s="1" t="s">
        <v>253</v>
      </c>
      <c r="C64" s="13" t="s">
        <v>254</v>
      </c>
      <c r="D64" s="13"/>
      <c r="E64" s="10">
        <f>SUMIFS(出入庫!F:F, 出入庫!E:E, "出庫", 出入庫!B:B, 表格2_7[[#This Row],[料號]], 出入庫!G:G, "線上") - SUMIFS(出入庫!F:F, 出入庫!E:E, "入庫", 出入庫!B:B, 表格2_7[[#This Row],[料號]], 出入庫!G:G, "線上")</f>
        <v>40</v>
      </c>
      <c r="F64" s="14"/>
      <c r="G64" s="14"/>
      <c r="H64" s="15"/>
      <c r="I64" s="15"/>
    </row>
    <row r="65" spans="1:9" ht="15.75">
      <c r="A65" s="18">
        <v>990000000014</v>
      </c>
      <c r="B65" s="1" t="s">
        <v>255</v>
      </c>
      <c r="C65" s="13" t="s">
        <v>255</v>
      </c>
      <c r="D65" s="13"/>
      <c r="E65" s="10">
        <f>SUMIFS(出入庫!F:F, 出入庫!E:E, "出庫", 出入庫!B:B, 表格2_7[[#This Row],[料號]], 出入庫!G:G, "線上") - SUMIFS(出入庫!F:F, 出入庫!E:E, "入庫", 出入庫!B:B, 表格2_7[[#This Row],[料號]], 出入庫!G:G, "線上")</f>
        <v>40</v>
      </c>
      <c r="F65" s="14"/>
      <c r="G65" s="14"/>
      <c r="H65" s="15"/>
      <c r="I65" s="15"/>
    </row>
    <row r="66" spans="1:9" ht="15.75">
      <c r="A66" s="18">
        <v>990000000015</v>
      </c>
      <c r="B66" s="1" t="s">
        <v>258</v>
      </c>
      <c r="C66" s="13" t="s">
        <v>258</v>
      </c>
      <c r="D66" s="13"/>
      <c r="E66" s="10">
        <f>SUMIFS(出入庫!F:F, 出入庫!E:E, "出庫", 出入庫!B:B, 表格2_7[[#This Row],[料號]], 出入庫!G:G, "線上") - SUMIFS(出入庫!F:F, 出入庫!E:E, "入庫", 出入庫!B:B, 表格2_7[[#This Row],[料號]], 出入庫!G:G, "線上")</f>
        <v>40</v>
      </c>
      <c r="F66" s="14"/>
      <c r="G66" s="14"/>
      <c r="H66" s="15"/>
      <c r="I66" s="15"/>
    </row>
    <row r="67" spans="1:9" ht="15.75">
      <c r="A67" s="18">
        <v>990000000016</v>
      </c>
      <c r="B67" s="1" t="s">
        <v>259</v>
      </c>
      <c r="C67" s="13" t="s">
        <v>259</v>
      </c>
      <c r="D67" s="13"/>
      <c r="E67" s="10">
        <f>SUMIFS(出入庫!F:F, 出入庫!E:E, "出庫", 出入庫!B:B, 表格2_7[[#This Row],[料號]], 出入庫!G:G, "線上") - SUMIFS(出入庫!F:F, 出入庫!E:E, "入庫", 出入庫!B:B, 表格2_7[[#This Row],[料號]], 出入庫!G:G, "線上")</f>
        <v>40</v>
      </c>
      <c r="F67" s="14"/>
      <c r="G67" s="14"/>
      <c r="H67" s="15"/>
      <c r="I67" s="15"/>
    </row>
    <row r="68" spans="1:9" ht="15.75">
      <c r="A68" s="18">
        <v>990000000017</v>
      </c>
      <c r="B68" s="1" t="s">
        <v>261</v>
      </c>
      <c r="C68" s="13" t="s">
        <v>261</v>
      </c>
      <c r="D68" s="13"/>
      <c r="E68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68" s="14"/>
      <c r="G68" s="14"/>
      <c r="H68" s="15"/>
      <c r="I68" s="15"/>
    </row>
    <row r="69" spans="1:9" ht="15.75">
      <c r="A69" s="18">
        <v>990000000018</v>
      </c>
      <c r="B69" s="1" t="s">
        <v>245</v>
      </c>
      <c r="C69" s="13" t="s">
        <v>245</v>
      </c>
      <c r="D69" s="13"/>
      <c r="E69" s="10">
        <f>SUMIFS(出入庫!F:F, 出入庫!E:E, "出庫", 出入庫!B:B, 表格2_7[[#This Row],[料號]], 出入庫!G:G, "線上") - SUMIFS(出入庫!F:F, 出入庫!E:E, "入庫", 出入庫!B:B, 表格2_7[[#This Row],[料號]], 出入庫!G:G, "線上")</f>
        <v>28</v>
      </c>
      <c r="F69" s="14"/>
      <c r="G69" s="14"/>
      <c r="H69" s="15"/>
      <c r="I69" s="15"/>
    </row>
    <row r="70" spans="1:9" ht="15.75">
      <c r="A70" s="18">
        <v>990000000019</v>
      </c>
      <c r="B70" s="1" t="s">
        <v>250</v>
      </c>
      <c r="C70" s="13" t="s">
        <v>250</v>
      </c>
      <c r="D70" s="13"/>
      <c r="E70" s="10">
        <f>SUMIFS(出入庫!F:F, 出入庫!E:E, "出庫", 出入庫!B:B, 表格2_7[[#This Row],[料號]], 出入庫!G:G, "線上") - SUMIFS(出入庫!F:F, 出入庫!E:E, "入庫", 出入庫!B:B, 表格2_7[[#This Row],[料號]], 出入庫!G:G, "線上")</f>
        <v>700</v>
      </c>
      <c r="F70" s="14"/>
      <c r="G70" s="14"/>
      <c r="H70" s="15"/>
      <c r="I70" s="15"/>
    </row>
    <row r="71" spans="1:9" ht="15.75">
      <c r="A71" s="18">
        <v>315601095000</v>
      </c>
      <c r="B71" s="1" t="s">
        <v>266</v>
      </c>
      <c r="C71" s="13" t="s">
        <v>267</v>
      </c>
      <c r="D71" s="13"/>
      <c r="E71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1" s="14"/>
      <c r="G71" s="14"/>
      <c r="H71" s="15"/>
      <c r="I71" s="15"/>
    </row>
    <row r="72" spans="1:9" ht="15.75">
      <c r="A72" s="18">
        <v>311980085000</v>
      </c>
      <c r="B72" s="1" t="s">
        <v>270</v>
      </c>
      <c r="C72" s="13" t="s">
        <v>270</v>
      </c>
      <c r="D72" s="13"/>
      <c r="E72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100</v>
      </c>
      <c r="F72" s="14"/>
      <c r="G72" s="14"/>
      <c r="H72" s="15"/>
      <c r="I72" s="15"/>
    </row>
    <row r="73" spans="1:9" ht="15.75">
      <c r="A73" s="18">
        <v>315601097000</v>
      </c>
      <c r="B73" s="1" t="s">
        <v>271</v>
      </c>
      <c r="C73" s="13" t="s">
        <v>272</v>
      </c>
      <c r="D73" s="13"/>
      <c r="E73" s="10">
        <f>SUMIFS(出入庫!F:F, 出入庫!E:E, "出庫", 出入庫!B:B, 表格2_7[[#This Row],[料號]], 出入庫!G:G, "線上") - SUMIFS(出入庫!F:F, 出入庫!E:E, "入庫", 出入庫!B:B, 表格2_7[[#This Row],[料號]], 出入庫!G:G, "線上")</f>
        <v>30</v>
      </c>
      <c r="F73" s="14"/>
      <c r="G73" s="14"/>
      <c r="H73" s="15"/>
      <c r="I73" s="15"/>
    </row>
    <row r="74" spans="1:9" ht="15.75">
      <c r="A74" s="18">
        <v>311980086000</v>
      </c>
      <c r="B74" s="1" t="s">
        <v>275</v>
      </c>
      <c r="C74" s="13" t="s">
        <v>275</v>
      </c>
      <c r="D74" s="13"/>
      <c r="E74" s="10">
        <f>SUMIFS(出入庫!F:F, 出入庫!E:E, "出庫", 出入庫!B:B, 表格2_7[[#This Row],[料號]], 出入庫!G:G, "線上") - SUMIFS(出入庫!F:F, 出入庫!E:E, "入庫", 出入庫!B:B, 表格2_7[[#This Row],[料號]], 出入庫!G:G, "線上")</f>
        <v>100</v>
      </c>
      <c r="F74" s="14"/>
      <c r="G74" s="14"/>
      <c r="H74" s="15"/>
      <c r="I74" s="15"/>
    </row>
    <row r="75" spans="1:9" ht="15.75">
      <c r="A75" s="18">
        <v>990000000020</v>
      </c>
      <c r="B75" s="1" t="s">
        <v>277</v>
      </c>
      <c r="C75" s="13" t="s">
        <v>277</v>
      </c>
      <c r="D75" s="13"/>
      <c r="E75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5" s="14"/>
      <c r="G75" s="14"/>
      <c r="H75" s="15"/>
      <c r="I75" s="15"/>
    </row>
    <row r="76" spans="1:9" ht="15.75">
      <c r="A76" s="18">
        <v>990000000021</v>
      </c>
      <c r="B76" s="1" t="s">
        <v>278</v>
      </c>
      <c r="C76" s="13" t="s">
        <v>278</v>
      </c>
      <c r="D76" s="13"/>
      <c r="E76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6" s="14"/>
      <c r="G76" s="14"/>
      <c r="H76" s="15"/>
      <c r="I76" s="15"/>
    </row>
    <row r="77" spans="1:9" ht="15.75">
      <c r="A77" s="18">
        <v>311400007000</v>
      </c>
      <c r="B77" s="1" t="s">
        <v>280</v>
      </c>
      <c r="C77" s="13" t="s">
        <v>281</v>
      </c>
      <c r="D77" s="13"/>
      <c r="E77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7" s="14"/>
      <c r="G77" s="14"/>
      <c r="H77" s="15"/>
      <c r="I77" s="15"/>
    </row>
    <row r="78" spans="1:9" ht="15.75">
      <c r="A78" s="18">
        <v>990000000022</v>
      </c>
      <c r="B78" s="1" t="s">
        <v>284</v>
      </c>
      <c r="C78" s="13" t="s">
        <v>284</v>
      </c>
      <c r="D78" s="13"/>
      <c r="E78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8" s="14"/>
      <c r="G78" s="14"/>
      <c r="H78" s="15"/>
      <c r="I78" s="15"/>
    </row>
    <row r="79" spans="1:9" ht="15.75">
      <c r="A79" s="18">
        <v>990000000023</v>
      </c>
      <c r="B79" s="1" t="s">
        <v>278</v>
      </c>
      <c r="C79" s="13" t="s">
        <v>278</v>
      </c>
      <c r="D79" s="13"/>
      <c r="E79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79" s="14"/>
      <c r="G79" s="14"/>
      <c r="H79" s="15"/>
      <c r="I79" s="15"/>
    </row>
    <row r="80" spans="1:9" ht="15.75">
      <c r="A80" s="18">
        <v>10509006</v>
      </c>
      <c r="B80" s="1" t="s">
        <v>289</v>
      </c>
      <c r="C80" s="13" t="s">
        <v>290</v>
      </c>
      <c r="D80" s="13"/>
      <c r="E80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80" s="14"/>
      <c r="G80" s="14"/>
      <c r="H80" s="15"/>
      <c r="I80" s="15"/>
    </row>
    <row r="81" spans="1:9" ht="15.75">
      <c r="A81" s="18">
        <v>990000000024</v>
      </c>
      <c r="B81" s="1" t="s">
        <v>293</v>
      </c>
      <c r="C81" s="13" t="s">
        <v>293</v>
      </c>
      <c r="D81" s="13"/>
      <c r="E81" s="10">
        <f>SUMIFS(出入庫!F:F, 出入庫!E:E, "出庫", 出入庫!B:B, 表格2_7[[#This Row],[料號]], 出入庫!G:G, "線上") - SUMIFS(出入庫!F:F, 出入庫!E:E, "入庫", 出入庫!B:B, 表格2_7[[#This Row],[料號]], 出入庫!G:G, "線上")</f>
        <v>8</v>
      </c>
      <c r="F81" s="14"/>
      <c r="G81" s="14"/>
      <c r="H81" s="15"/>
      <c r="I81" s="15"/>
    </row>
    <row r="82" spans="1:9" ht="15.75">
      <c r="A82" s="18">
        <v>990000000025</v>
      </c>
      <c r="B82" s="1" t="s">
        <v>295</v>
      </c>
      <c r="C82" s="13" t="s">
        <v>295</v>
      </c>
      <c r="D82" s="13"/>
      <c r="E82" s="10">
        <f>SUMIFS(出入庫!F:F, 出入庫!E:E, "出庫", 出入庫!B:B, 表格2_7[[#This Row],[料號]], 出入庫!G:G, "線上") - SUMIFS(出入庫!F:F, 出入庫!E:E, "入庫", 出入庫!B:B, 表格2_7[[#This Row],[料號]], 出入庫!G:G, "線上")</f>
        <v>2</v>
      </c>
      <c r="F82" s="14"/>
      <c r="G82" s="14"/>
      <c r="H82" s="15"/>
      <c r="I82" s="15"/>
    </row>
    <row r="83" spans="1:9" ht="15.75">
      <c r="A83" s="18">
        <v>319600056004</v>
      </c>
      <c r="B83" s="1" t="s">
        <v>300</v>
      </c>
      <c r="C83" s="13" t="s">
        <v>301</v>
      </c>
      <c r="D83" s="13"/>
      <c r="E83" s="10">
        <f>SUMIFS(出入庫!F:F, 出入庫!E:E, "出庫", 出入庫!B:B, 表格2_7[[#This Row],[料號]], 出入庫!G:G, "線上") - SUMIFS(出入庫!F:F, 出入庫!E:E, "入庫", 出入庫!B:B, 表格2_7[[#This Row],[料號]], 出入庫!G:G, "線上")</f>
        <v>453</v>
      </c>
      <c r="F83" s="14"/>
      <c r="G83" s="14"/>
      <c r="H83" s="15"/>
      <c r="I83" s="15"/>
    </row>
    <row r="84" spans="1:9" ht="15.75">
      <c r="A84" s="18">
        <v>319600053004</v>
      </c>
      <c r="B84" s="1" t="s">
        <v>302</v>
      </c>
      <c r="C84" s="13" t="s">
        <v>303</v>
      </c>
      <c r="D84" s="13"/>
      <c r="E84" s="10">
        <f>SUMIFS(出入庫!F:F, 出入庫!E:E, "出庫", 出入庫!B:B, 表格2_7[[#This Row],[料號]], 出入庫!G:G, "線上") - SUMIFS(出入庫!F:F, 出入庫!E:E, "入庫", 出入庫!B:B, 表格2_7[[#This Row],[料號]], 出入庫!G:G, "線上")</f>
        <v>404</v>
      </c>
      <c r="F84" s="14"/>
      <c r="G84" s="14"/>
      <c r="H84" s="15"/>
      <c r="I84" s="15"/>
    </row>
    <row r="85" spans="1:9" ht="15.75">
      <c r="A85" s="18">
        <v>990000000026</v>
      </c>
      <c r="B85" s="1" t="s">
        <v>305</v>
      </c>
      <c r="C85" s="1" t="s">
        <v>305</v>
      </c>
      <c r="D85" s="1"/>
      <c r="E85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85" s="14"/>
      <c r="G85" s="14"/>
      <c r="H85" s="15"/>
      <c r="I85" s="15"/>
    </row>
    <row r="86" spans="1:9" ht="15.75">
      <c r="A86" s="18">
        <v>41000022</v>
      </c>
      <c r="B86" s="1" t="s">
        <v>307</v>
      </c>
      <c r="C86" s="13" t="s">
        <v>307</v>
      </c>
      <c r="D86" s="13"/>
      <c r="E86" s="10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F86" s="14"/>
      <c r="G86" s="14"/>
      <c r="H86" s="15"/>
      <c r="I86" s="15"/>
    </row>
  </sheetData>
  <sheetProtection algorithmName="SHA-512" hashValue="Lk4XkG2tGmc8wjBoy44DYt9iGQ+VRTs50VyEuTtMItJwfT4kfxumu254lOjrWckxoOrfvqT0aBnA8sLwywQj8g==" saltValue="kw4HWQGUetuL3m75aYjp/Q==" spinCount="100000" sheet="1" objects="1" scenarios="1"/>
  <phoneticPr fontId="1" type="noConversion"/>
  <conditionalFormatting sqref="A1:A1048576">
    <cfRule type="duplicateValues" dxfId="49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53D-BCD6-4245-B3B4-FA2F26EEB4A7}">
  <sheetPr codeName="工作表9"/>
  <dimension ref="A1:H86"/>
  <sheetViews>
    <sheetView zoomScale="55" zoomScaleNormal="55" workbookViewId="0">
      <pane ySplit="1" topLeftCell="A2" activePane="bottomLeft" state="frozen"/>
      <selection activeCell="E15" sqref="E15"/>
      <selection pane="bottomLeft" activeCell="E6" sqref="E6"/>
    </sheetView>
  </sheetViews>
  <sheetFormatPr defaultColWidth="8.85546875" defaultRowHeight="15"/>
  <cols>
    <col min="1" max="1" width="18.7109375" style="19" bestFit="1" customWidth="1"/>
    <col min="2" max="2" width="152.5703125" style="16" bestFit="1" customWidth="1"/>
    <col min="3" max="3" width="80.2109375" style="4" bestFit="1" customWidth="1"/>
    <col min="4" max="4" width="11.140625" style="4" bestFit="1" customWidth="1"/>
    <col min="5" max="5" width="13.35546875" style="3" bestFit="1" customWidth="1"/>
    <col min="6" max="6" width="8" style="3" bestFit="1" customWidth="1"/>
    <col min="7" max="7" width="9.640625" style="4" bestFit="1" customWidth="1"/>
    <col min="8" max="8" width="16.7109375" style="4" bestFit="1" customWidth="1"/>
    <col min="9" max="16384" width="8.85546875" style="4"/>
  </cols>
  <sheetData>
    <row r="1" spans="1:8" ht="22.9">
      <c r="A1" s="17" t="s">
        <v>14</v>
      </c>
      <c r="B1" s="11" t="s">
        <v>2</v>
      </c>
      <c r="C1" s="11" t="s">
        <v>3</v>
      </c>
      <c r="D1" s="11" t="s">
        <v>4</v>
      </c>
      <c r="E1" s="11" t="s">
        <v>15</v>
      </c>
      <c r="F1" s="11" t="s">
        <v>12</v>
      </c>
      <c r="G1" s="12" t="s">
        <v>13</v>
      </c>
      <c r="H1" s="22" t="s">
        <v>16</v>
      </c>
    </row>
    <row r="2" spans="1:8" ht="15.75">
      <c r="A2" s="18">
        <v>315600127001</v>
      </c>
      <c r="B2" s="1" t="s">
        <v>47</v>
      </c>
      <c r="C2" s="13" t="s">
        <v>46</v>
      </c>
      <c r="D2" s="13"/>
      <c r="E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" s="14"/>
      <c r="G2" s="14"/>
      <c r="H2" s="15"/>
    </row>
    <row r="3" spans="1:8" ht="15.75">
      <c r="A3" s="18">
        <v>315600217001</v>
      </c>
      <c r="B3" s="1" t="s">
        <v>50</v>
      </c>
      <c r="C3" s="13" t="s">
        <v>51</v>
      </c>
      <c r="D3" s="13"/>
      <c r="E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" s="14"/>
      <c r="G3" s="14"/>
      <c r="H3" s="15"/>
    </row>
    <row r="4" spans="1:8" ht="15.75">
      <c r="A4" s="18">
        <v>315600868001</v>
      </c>
      <c r="B4" s="1" t="s">
        <v>52</v>
      </c>
      <c r="C4" s="13" t="s">
        <v>53</v>
      </c>
      <c r="D4" s="13"/>
      <c r="E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" s="14"/>
      <c r="G4" s="14"/>
      <c r="H4" s="15"/>
    </row>
    <row r="5" spans="1:8" ht="15.75">
      <c r="A5" s="18">
        <v>315600869000</v>
      </c>
      <c r="B5" s="1" t="s">
        <v>54</v>
      </c>
      <c r="C5" s="13" t="s">
        <v>55</v>
      </c>
      <c r="D5" s="13"/>
      <c r="E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" s="14"/>
      <c r="G5" s="14"/>
      <c r="H5" s="15"/>
    </row>
    <row r="6" spans="1:8" ht="15.75">
      <c r="A6" s="18">
        <v>315601091000</v>
      </c>
      <c r="B6" s="1" t="s">
        <v>42</v>
      </c>
      <c r="C6" s="13" t="s">
        <v>43</v>
      </c>
      <c r="D6" s="13"/>
      <c r="E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150</v>
      </c>
      <c r="F6" s="14"/>
      <c r="G6" s="14"/>
      <c r="H6" s="15"/>
    </row>
    <row r="7" spans="1:8" ht="15.75">
      <c r="A7" s="18">
        <v>319100042008</v>
      </c>
      <c r="B7" s="1" t="s">
        <v>33</v>
      </c>
      <c r="C7" s="13" t="s">
        <v>56</v>
      </c>
      <c r="D7" s="13"/>
      <c r="E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" s="14"/>
      <c r="G7" s="14"/>
      <c r="H7" s="15"/>
    </row>
    <row r="8" spans="1:8" ht="15.75">
      <c r="A8" s="18">
        <v>315600821003</v>
      </c>
      <c r="B8" s="1" t="s">
        <v>32</v>
      </c>
      <c r="C8" s="13" t="s">
        <v>58</v>
      </c>
      <c r="D8" s="13"/>
      <c r="E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" s="14"/>
      <c r="G8" s="14"/>
      <c r="H8" s="15"/>
    </row>
    <row r="9" spans="1:8" ht="15.75">
      <c r="A9" s="18">
        <v>315600734000</v>
      </c>
      <c r="B9" s="1" t="s">
        <v>60</v>
      </c>
      <c r="C9" s="13" t="s">
        <v>61</v>
      </c>
      <c r="D9" s="13"/>
      <c r="E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9" s="14"/>
      <c r="G9" s="14"/>
      <c r="H9" s="15"/>
    </row>
    <row r="10" spans="1:8" ht="15.75">
      <c r="A10" s="18">
        <v>990000000004</v>
      </c>
      <c r="B10" s="1" t="s">
        <v>63</v>
      </c>
      <c r="C10" s="13" t="s">
        <v>64</v>
      </c>
      <c r="D10" s="13"/>
      <c r="E1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0" s="14"/>
      <c r="G10" s="14"/>
      <c r="H10" s="15"/>
    </row>
    <row r="11" spans="1:8" ht="15.75">
      <c r="A11" s="18">
        <v>315600602000</v>
      </c>
      <c r="B11" s="1" t="s">
        <v>65</v>
      </c>
      <c r="C11" s="13" t="s">
        <v>66</v>
      </c>
      <c r="D11" s="13"/>
      <c r="E1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1" s="14"/>
      <c r="G11" s="14"/>
      <c r="H11" s="15"/>
    </row>
    <row r="12" spans="1:8" ht="15.75">
      <c r="A12" s="18">
        <v>315600716001</v>
      </c>
      <c r="B12" s="1" t="s">
        <v>67</v>
      </c>
      <c r="C12" s="13" t="s">
        <v>68</v>
      </c>
      <c r="D12" s="13"/>
      <c r="E1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2" s="14"/>
      <c r="G12" s="14"/>
      <c r="H12" s="15"/>
    </row>
    <row r="13" spans="1:8" ht="16.149999999999999">
      <c r="A13" s="18">
        <v>315600850000</v>
      </c>
      <c r="B13" s="1" t="s">
        <v>88</v>
      </c>
      <c r="C13" s="13" t="s">
        <v>90</v>
      </c>
      <c r="D13" s="13"/>
      <c r="E1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3" s="14"/>
      <c r="G13" s="14"/>
      <c r="H13" s="15"/>
    </row>
    <row r="14" spans="1:8" ht="15.75">
      <c r="A14" s="18">
        <v>315600771000</v>
      </c>
      <c r="B14" s="1" t="s">
        <v>91</v>
      </c>
      <c r="C14" s="13" t="s">
        <v>92</v>
      </c>
      <c r="D14" s="13"/>
      <c r="E1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4" s="14"/>
      <c r="G14" s="14"/>
      <c r="H14" s="15"/>
    </row>
    <row r="15" spans="1:8" ht="15.75">
      <c r="A15" s="18">
        <v>299900092003</v>
      </c>
      <c r="B15" s="1" t="s">
        <v>96</v>
      </c>
      <c r="C15" s="13" t="s">
        <v>97</v>
      </c>
      <c r="D15" s="13"/>
      <c r="E1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5" s="14"/>
      <c r="G15" s="14"/>
      <c r="H15" s="15"/>
    </row>
    <row r="16" spans="1:8" ht="15.75">
      <c r="A16" s="18">
        <v>315600881002</v>
      </c>
      <c r="B16" s="1" t="s">
        <v>99</v>
      </c>
      <c r="C16" s="13" t="s">
        <v>100</v>
      </c>
      <c r="D16" s="13"/>
      <c r="E1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6" s="14"/>
      <c r="G16" s="14"/>
      <c r="H16" s="15"/>
    </row>
    <row r="17" spans="1:8" ht="15.75">
      <c r="A17" s="18">
        <v>315600917002</v>
      </c>
      <c r="B17" s="1" t="s">
        <v>102</v>
      </c>
      <c r="C17" s="13" t="s">
        <v>103</v>
      </c>
      <c r="D17" s="13"/>
      <c r="E1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7" s="14"/>
      <c r="G17" s="14"/>
      <c r="H17" s="15"/>
    </row>
    <row r="18" spans="1:8" ht="15.75">
      <c r="A18" s="18">
        <v>990000000006</v>
      </c>
      <c r="B18" s="1" t="s">
        <v>106</v>
      </c>
      <c r="C18" s="13" t="s">
        <v>107</v>
      </c>
      <c r="D18" s="13"/>
      <c r="E1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8" s="14"/>
      <c r="G18" s="14"/>
      <c r="H18" s="15"/>
    </row>
    <row r="19" spans="1:8" ht="15.75">
      <c r="A19" s="18">
        <v>990000000007</v>
      </c>
      <c r="B19" s="1" t="s">
        <v>115</v>
      </c>
      <c r="C19" s="13" t="s">
        <v>115</v>
      </c>
      <c r="D19" s="13"/>
      <c r="E1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19" s="14"/>
      <c r="G19" s="14"/>
      <c r="H19" s="15"/>
    </row>
    <row r="20" spans="1:8" ht="15.75">
      <c r="A20" s="18">
        <v>315600895002</v>
      </c>
      <c r="B20" s="1" t="s">
        <v>116</v>
      </c>
      <c r="C20" s="13" t="s">
        <v>117</v>
      </c>
      <c r="D20" s="13"/>
      <c r="E2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0" s="14"/>
      <c r="G20" s="14"/>
      <c r="H20" s="15"/>
    </row>
    <row r="21" spans="1:8" ht="15.75">
      <c r="A21" s="18">
        <v>990000000008</v>
      </c>
      <c r="B21" s="1" t="s">
        <v>120</v>
      </c>
      <c r="C21" s="13" t="s">
        <v>121</v>
      </c>
      <c r="D21" s="13"/>
      <c r="E2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1" s="14"/>
      <c r="G21" s="14"/>
      <c r="H21" s="15"/>
    </row>
    <row r="22" spans="1:8" ht="15.75">
      <c r="A22" s="18">
        <v>990000000009</v>
      </c>
      <c r="B22" s="1" t="s">
        <v>123</v>
      </c>
      <c r="C22" s="13" t="s">
        <v>123</v>
      </c>
      <c r="D22" s="13"/>
      <c r="E2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2" s="14"/>
      <c r="G22" s="14"/>
      <c r="H22" s="15"/>
    </row>
    <row r="23" spans="1:8" ht="15.75">
      <c r="A23" s="18">
        <v>315600735000</v>
      </c>
      <c r="B23" s="1" t="s">
        <v>124</v>
      </c>
      <c r="C23" s="13" t="s">
        <v>125</v>
      </c>
      <c r="D23" s="13"/>
      <c r="E2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3" s="14"/>
      <c r="G23" s="14"/>
      <c r="H23" s="15"/>
    </row>
    <row r="24" spans="1:8" ht="15.75">
      <c r="A24" s="18">
        <v>990000000010</v>
      </c>
      <c r="B24" s="1" t="s">
        <v>128</v>
      </c>
      <c r="C24" s="13" t="s">
        <v>128</v>
      </c>
      <c r="D24" s="13"/>
      <c r="E2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4" s="14"/>
      <c r="G24" s="14"/>
      <c r="H24" s="15"/>
    </row>
    <row r="25" spans="1:8" ht="15.75">
      <c r="A25" s="18">
        <v>315600794000</v>
      </c>
      <c r="B25" s="1" t="s">
        <v>134</v>
      </c>
      <c r="C25" s="13" t="s">
        <v>135</v>
      </c>
      <c r="D25" s="13"/>
      <c r="E2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5" s="14"/>
      <c r="G25" s="14"/>
      <c r="H25" s="15"/>
    </row>
    <row r="26" spans="1:8" ht="15.75">
      <c r="A26" s="18">
        <v>319600038005</v>
      </c>
      <c r="B26" s="1" t="s">
        <v>136</v>
      </c>
      <c r="C26" s="13" t="s">
        <v>137</v>
      </c>
      <c r="D26" s="13"/>
      <c r="E2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6" s="14"/>
      <c r="G26" s="14"/>
      <c r="H26" s="15"/>
    </row>
    <row r="27" spans="1:8" ht="15.75">
      <c r="A27" s="18">
        <v>319000056004</v>
      </c>
      <c r="B27" s="1" t="s">
        <v>139</v>
      </c>
      <c r="C27" s="13" t="s">
        <v>140</v>
      </c>
      <c r="D27" s="13"/>
      <c r="E2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7" s="14"/>
      <c r="G27" s="14"/>
      <c r="H27" s="15"/>
    </row>
    <row r="28" spans="1:8" ht="15.75">
      <c r="A28" s="18">
        <v>315600415000</v>
      </c>
      <c r="B28" s="1" t="s">
        <v>142</v>
      </c>
      <c r="C28" s="13" t="s">
        <v>143</v>
      </c>
      <c r="D28" s="13"/>
      <c r="E2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8" s="14"/>
      <c r="G28" s="14"/>
      <c r="H28" s="15"/>
    </row>
    <row r="29" spans="1:8" ht="15.75">
      <c r="A29" s="18">
        <v>319100057001</v>
      </c>
      <c r="B29" s="1" t="s">
        <v>145</v>
      </c>
      <c r="C29" s="13" t="s">
        <v>146</v>
      </c>
      <c r="D29" s="13"/>
      <c r="E2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29" s="14"/>
      <c r="G29" s="14"/>
      <c r="H29" s="15"/>
    </row>
    <row r="30" spans="1:8" ht="15.75">
      <c r="A30" s="18">
        <v>315601033002</v>
      </c>
      <c r="B30" s="1" t="s">
        <v>148</v>
      </c>
      <c r="C30" s="13" t="s">
        <v>149</v>
      </c>
      <c r="D30" s="13"/>
      <c r="E3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0" s="14"/>
      <c r="G30" s="14"/>
      <c r="H30" s="15"/>
    </row>
    <row r="31" spans="1:8" ht="15.75">
      <c r="A31" s="18">
        <v>315601052000</v>
      </c>
      <c r="B31" s="1" t="s">
        <v>151</v>
      </c>
      <c r="C31" s="13" t="s">
        <v>152</v>
      </c>
      <c r="D31" s="13"/>
      <c r="E3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1" s="14"/>
      <c r="G31" s="14"/>
      <c r="H31" s="15"/>
    </row>
    <row r="32" spans="1:8" ht="15.75">
      <c r="A32" s="18">
        <v>315601040000</v>
      </c>
      <c r="B32" s="1" t="s">
        <v>154</v>
      </c>
      <c r="C32" s="13" t="s">
        <v>155</v>
      </c>
      <c r="D32" s="13"/>
      <c r="E3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2" s="14"/>
      <c r="G32" s="14"/>
      <c r="H32" s="15"/>
    </row>
    <row r="33" spans="1:8" ht="15.75">
      <c r="A33" s="18">
        <v>315600660000</v>
      </c>
      <c r="B33" s="1" t="s">
        <v>34</v>
      </c>
      <c r="C33" s="13" t="s">
        <v>157</v>
      </c>
      <c r="D33" s="13"/>
      <c r="E3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3" s="14"/>
      <c r="G33" s="14"/>
      <c r="H33" s="15"/>
    </row>
    <row r="34" spans="1:8" ht="15.75">
      <c r="A34" s="18">
        <v>315601026000</v>
      </c>
      <c r="B34" s="1" t="s">
        <v>158</v>
      </c>
      <c r="C34" s="13" t="s">
        <v>159</v>
      </c>
      <c r="D34" s="13"/>
      <c r="E3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4" s="14"/>
      <c r="G34" s="14"/>
      <c r="H34" s="15"/>
    </row>
    <row r="35" spans="1:8" ht="15.75">
      <c r="A35" s="18">
        <v>315600742002</v>
      </c>
      <c r="B35" s="1" t="s">
        <v>160</v>
      </c>
      <c r="C35" s="13" t="s">
        <v>161</v>
      </c>
      <c r="D35" s="13"/>
      <c r="E3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5" s="14"/>
      <c r="G35" s="14"/>
      <c r="H35" s="15"/>
    </row>
    <row r="36" spans="1:8" ht="15.75">
      <c r="A36" s="18">
        <v>315600732001</v>
      </c>
      <c r="B36" s="1" t="s">
        <v>163</v>
      </c>
      <c r="C36" s="13" t="s">
        <v>164</v>
      </c>
      <c r="D36" s="13"/>
      <c r="E3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6" s="14"/>
      <c r="G36" s="14"/>
      <c r="H36" s="15"/>
    </row>
    <row r="37" spans="1:8" ht="15.75">
      <c r="A37" s="18">
        <v>319100050000</v>
      </c>
      <c r="B37" s="1" t="s">
        <v>165</v>
      </c>
      <c r="C37" s="13" t="s">
        <v>166</v>
      </c>
      <c r="D37" s="13"/>
      <c r="E3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7" s="14"/>
      <c r="G37" s="14"/>
      <c r="H37" s="15"/>
    </row>
    <row r="38" spans="1:8" ht="15.75">
      <c r="A38" s="18">
        <v>315600635001</v>
      </c>
      <c r="B38" s="1" t="s">
        <v>167</v>
      </c>
      <c r="C38" s="13" t="s">
        <v>168</v>
      </c>
      <c r="D38" s="13"/>
      <c r="E3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8" s="14"/>
      <c r="G38" s="14"/>
      <c r="H38" s="15"/>
    </row>
    <row r="39" spans="1:8" ht="15.75">
      <c r="A39" s="18">
        <v>315600637000</v>
      </c>
      <c r="B39" s="1" t="s">
        <v>170</v>
      </c>
      <c r="C39" s="13" t="s">
        <v>171</v>
      </c>
      <c r="D39" s="13"/>
      <c r="E3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39" s="14"/>
      <c r="G39" s="14"/>
      <c r="H39" s="15"/>
    </row>
    <row r="40" spans="1:8" ht="15.75">
      <c r="A40" s="18">
        <v>990000000001</v>
      </c>
      <c r="B40" s="1" t="s">
        <v>174</v>
      </c>
      <c r="C40" s="13" t="s">
        <v>297</v>
      </c>
      <c r="D40" s="13"/>
      <c r="E4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0" s="14"/>
      <c r="G40" s="14"/>
      <c r="H40" s="15"/>
    </row>
    <row r="41" spans="1:8" ht="16.149999999999999">
      <c r="A41" s="18">
        <v>990000000002</v>
      </c>
      <c r="B41" s="1" t="s">
        <v>178</v>
      </c>
      <c r="C41" s="30" t="s">
        <v>184</v>
      </c>
      <c r="D41" s="30"/>
      <c r="E4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1" s="14"/>
      <c r="G41" s="14"/>
      <c r="H41" s="15"/>
    </row>
    <row r="42" spans="1:8" ht="15.75">
      <c r="A42" s="18">
        <v>315600998000</v>
      </c>
      <c r="B42" s="1" t="s">
        <v>154</v>
      </c>
      <c r="C42" s="13" t="s">
        <v>179</v>
      </c>
      <c r="D42" s="13"/>
      <c r="E4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2" s="14"/>
      <c r="G42" s="14"/>
      <c r="H42" s="15"/>
    </row>
    <row r="43" spans="1:8" ht="15.75">
      <c r="A43" s="18">
        <v>315600218000</v>
      </c>
      <c r="B43" s="1" t="s">
        <v>181</v>
      </c>
      <c r="C43" s="13" t="s">
        <v>182</v>
      </c>
      <c r="D43" s="13"/>
      <c r="E4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3" s="14"/>
      <c r="G43" s="14"/>
      <c r="H43" s="15"/>
    </row>
    <row r="44" spans="1:8" ht="15.75">
      <c r="A44" s="18">
        <v>315601016001</v>
      </c>
      <c r="B44" s="1" t="s">
        <v>186</v>
      </c>
      <c r="C44" s="13" t="s">
        <v>188</v>
      </c>
      <c r="D44" s="13"/>
      <c r="E4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4" s="14"/>
      <c r="G44" s="14"/>
      <c r="H44" s="15"/>
    </row>
    <row r="45" spans="1:8" ht="15.75">
      <c r="A45" s="18">
        <v>990000000003</v>
      </c>
      <c r="B45" s="1" t="s">
        <v>191</v>
      </c>
      <c r="C45" s="13" t="s">
        <v>188</v>
      </c>
      <c r="D45" s="13"/>
      <c r="E4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5" s="14"/>
      <c r="G45" s="14"/>
      <c r="H45" s="15"/>
    </row>
    <row r="46" spans="1:8" ht="15.75">
      <c r="A46" s="18">
        <v>319600045006</v>
      </c>
      <c r="B46" s="1" t="s">
        <v>192</v>
      </c>
      <c r="C46" s="13" t="s">
        <v>193</v>
      </c>
      <c r="D46" s="13"/>
      <c r="E4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6" s="14"/>
      <c r="G46" s="14"/>
      <c r="H46" s="15"/>
    </row>
    <row r="47" spans="1:8" ht="15.75">
      <c r="A47" s="18">
        <v>990000000005</v>
      </c>
      <c r="B47" s="1" t="s">
        <v>199</v>
      </c>
      <c r="C47" s="13" t="s">
        <v>200</v>
      </c>
      <c r="D47" s="13"/>
      <c r="E4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7" s="14"/>
      <c r="G47" s="14"/>
      <c r="H47" s="15"/>
    </row>
    <row r="48" spans="1:8" ht="15.75">
      <c r="A48" s="18">
        <v>315600715000</v>
      </c>
      <c r="B48" s="1" t="s">
        <v>201</v>
      </c>
      <c r="C48" s="13" t="s">
        <v>202</v>
      </c>
      <c r="D48" s="13"/>
      <c r="E4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8" s="14"/>
      <c r="G48" s="14"/>
      <c r="H48" s="15"/>
    </row>
    <row r="49" spans="1:8" ht="15.75">
      <c r="A49" s="18">
        <v>319000066000</v>
      </c>
      <c r="B49" s="1" t="s">
        <v>204</v>
      </c>
      <c r="C49" s="13" t="s">
        <v>205</v>
      </c>
      <c r="D49" s="13"/>
      <c r="E4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49" s="14"/>
      <c r="G49" s="14"/>
      <c r="H49" s="15"/>
    </row>
    <row r="50" spans="1:8" ht="15.75">
      <c r="A50" s="18">
        <v>315601039000</v>
      </c>
      <c r="B50" s="1" t="s">
        <v>209</v>
      </c>
      <c r="C50" s="13" t="s">
        <v>210</v>
      </c>
      <c r="D50" s="13"/>
      <c r="E5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0" s="14"/>
      <c r="G50" s="14"/>
      <c r="H50" s="15"/>
    </row>
    <row r="51" spans="1:8" ht="15.75">
      <c r="A51" s="18">
        <v>315600849000</v>
      </c>
      <c r="B51" s="1" t="s">
        <v>211</v>
      </c>
      <c r="C51" s="13" t="s">
        <v>212</v>
      </c>
      <c r="D51" s="13"/>
      <c r="E5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1" s="14"/>
      <c r="G51" s="14"/>
      <c r="H51" s="15"/>
    </row>
    <row r="52" spans="1:8" ht="15.75">
      <c r="A52" s="18">
        <v>315600737000</v>
      </c>
      <c r="B52" s="1" t="s">
        <v>214</v>
      </c>
      <c r="C52" s="13" t="s">
        <v>215</v>
      </c>
      <c r="D52" s="13"/>
      <c r="E5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2" s="14"/>
      <c r="G52" s="14"/>
      <c r="H52" s="15"/>
    </row>
    <row r="53" spans="1:8" ht="15.75">
      <c r="A53" s="18">
        <v>315600954000</v>
      </c>
      <c r="B53" s="1" t="s">
        <v>217</v>
      </c>
      <c r="C53" s="13" t="s">
        <v>218</v>
      </c>
      <c r="D53" s="13"/>
      <c r="E5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3" s="14"/>
      <c r="G53" s="14"/>
      <c r="H53" s="15"/>
    </row>
    <row r="54" spans="1:8" ht="15.75">
      <c r="A54" s="18">
        <v>315600831001</v>
      </c>
      <c r="B54" s="1" t="s">
        <v>220</v>
      </c>
      <c r="C54" s="13" t="s">
        <v>221</v>
      </c>
      <c r="D54" s="13"/>
      <c r="E5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4" s="14"/>
      <c r="G54" s="14"/>
      <c r="H54" s="15"/>
    </row>
    <row r="55" spans="1:8" ht="15.75">
      <c r="A55" s="18">
        <v>315600797002</v>
      </c>
      <c r="B55" s="1" t="s">
        <v>226</v>
      </c>
      <c r="C55" s="13" t="s">
        <v>227</v>
      </c>
      <c r="D55" s="13"/>
      <c r="E5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5" s="14"/>
      <c r="G55" s="14"/>
      <c r="H55" s="15"/>
    </row>
    <row r="56" spans="1:8" ht="15.75">
      <c r="A56" s="18">
        <v>315600974001</v>
      </c>
      <c r="B56" s="1" t="s">
        <v>229</v>
      </c>
      <c r="C56" s="13" t="s">
        <v>230</v>
      </c>
      <c r="D56" s="13"/>
      <c r="E5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6" s="14"/>
      <c r="G56" s="14"/>
      <c r="H56" s="15"/>
    </row>
    <row r="57" spans="1:8" ht="15.75">
      <c r="A57" s="18">
        <v>319000077002</v>
      </c>
      <c r="B57" s="1" t="s">
        <v>232</v>
      </c>
      <c r="C57" s="13" t="s">
        <v>233</v>
      </c>
      <c r="D57" s="13"/>
      <c r="E5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7" s="14"/>
      <c r="G57" s="14"/>
      <c r="H57" s="15"/>
    </row>
    <row r="58" spans="1:8" ht="15.75">
      <c r="A58" s="18">
        <v>315600381000</v>
      </c>
      <c r="B58" s="1" t="s">
        <v>235</v>
      </c>
      <c r="C58" s="13" t="s">
        <v>225</v>
      </c>
      <c r="D58" s="13"/>
      <c r="E5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8" s="14"/>
      <c r="G58" s="14"/>
      <c r="H58" s="15"/>
    </row>
    <row r="59" spans="1:8" ht="15.75">
      <c r="A59" s="18">
        <v>315600859000</v>
      </c>
      <c r="B59" s="1" t="s">
        <v>236</v>
      </c>
      <c r="C59" s="13" t="s">
        <v>237</v>
      </c>
      <c r="D59" s="13"/>
      <c r="E5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59" s="14"/>
      <c r="G59" s="14"/>
      <c r="H59" s="15"/>
    </row>
    <row r="60" spans="1:8" ht="15.75">
      <c r="A60" s="18">
        <v>990000000011</v>
      </c>
      <c r="B60" s="1" t="s">
        <v>243</v>
      </c>
      <c r="C60" s="13" t="s">
        <v>244</v>
      </c>
      <c r="D60" s="13"/>
      <c r="E6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0" s="14"/>
      <c r="G60" s="14"/>
      <c r="H60" s="15"/>
    </row>
    <row r="61" spans="1:8" ht="15.75">
      <c r="A61" s="18">
        <v>990000000012</v>
      </c>
      <c r="B61" s="1" t="s">
        <v>245</v>
      </c>
      <c r="C61" s="13" t="s">
        <v>245</v>
      </c>
      <c r="D61" s="13"/>
      <c r="E6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1" s="14"/>
      <c r="G61" s="14"/>
      <c r="H61" s="15"/>
    </row>
    <row r="62" spans="1:8" ht="15.75">
      <c r="A62" s="18">
        <v>319600063003</v>
      </c>
      <c r="B62" s="1" t="s">
        <v>247</v>
      </c>
      <c r="C62" s="13" t="s">
        <v>248</v>
      </c>
      <c r="D62" s="13"/>
      <c r="E6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2" s="14"/>
      <c r="G62" s="14"/>
      <c r="H62" s="15"/>
    </row>
    <row r="63" spans="1:8" ht="15.75">
      <c r="A63" s="18">
        <v>990000000013</v>
      </c>
      <c r="B63" s="1" t="s">
        <v>250</v>
      </c>
      <c r="C63" s="13" t="s">
        <v>250</v>
      </c>
      <c r="D63" s="13"/>
      <c r="E6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3" s="14"/>
      <c r="G63" s="14"/>
      <c r="H63" s="15"/>
    </row>
    <row r="64" spans="1:8" ht="15.75">
      <c r="A64" s="18">
        <v>980000000001</v>
      </c>
      <c r="B64" s="1" t="s">
        <v>253</v>
      </c>
      <c r="C64" s="13" t="s">
        <v>254</v>
      </c>
      <c r="D64" s="13"/>
      <c r="E6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4" s="14"/>
      <c r="G64" s="14"/>
      <c r="H64" s="15"/>
    </row>
    <row r="65" spans="1:8" ht="15.75">
      <c r="A65" s="18">
        <v>990000000014</v>
      </c>
      <c r="B65" s="1" t="s">
        <v>255</v>
      </c>
      <c r="C65" s="13" t="s">
        <v>255</v>
      </c>
      <c r="D65" s="13"/>
      <c r="E6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5" s="14"/>
      <c r="G65" s="14"/>
      <c r="H65" s="15"/>
    </row>
    <row r="66" spans="1:8" ht="15.75">
      <c r="A66" s="18">
        <v>990000000015</v>
      </c>
      <c r="B66" s="1" t="s">
        <v>258</v>
      </c>
      <c r="C66" s="13" t="s">
        <v>258</v>
      </c>
      <c r="D66" s="13"/>
      <c r="E6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6" s="14"/>
      <c r="G66" s="14"/>
      <c r="H66" s="15"/>
    </row>
    <row r="67" spans="1:8" ht="15.75">
      <c r="A67" s="18">
        <v>990000000016</v>
      </c>
      <c r="B67" s="1" t="s">
        <v>259</v>
      </c>
      <c r="C67" s="13" t="s">
        <v>259</v>
      </c>
      <c r="D67" s="13"/>
      <c r="E6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7" s="14"/>
      <c r="G67" s="14"/>
      <c r="H67" s="15"/>
    </row>
    <row r="68" spans="1:8" ht="15.75">
      <c r="A68" s="18">
        <v>990000000017</v>
      </c>
      <c r="B68" s="1" t="s">
        <v>261</v>
      </c>
      <c r="C68" s="13" t="s">
        <v>261</v>
      </c>
      <c r="D68" s="13"/>
      <c r="E6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8" s="14"/>
      <c r="G68" s="14"/>
      <c r="H68" s="15"/>
    </row>
    <row r="69" spans="1:8" ht="15.75">
      <c r="A69" s="18">
        <v>990000000018</v>
      </c>
      <c r="B69" s="1" t="s">
        <v>245</v>
      </c>
      <c r="C69" s="13" t="s">
        <v>245</v>
      </c>
      <c r="D69" s="13"/>
      <c r="E6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69" s="14"/>
      <c r="G69" s="14"/>
      <c r="H69" s="15"/>
    </row>
    <row r="70" spans="1:8" ht="15.75">
      <c r="A70" s="18">
        <v>990000000019</v>
      </c>
      <c r="B70" s="1" t="s">
        <v>250</v>
      </c>
      <c r="C70" s="13" t="s">
        <v>250</v>
      </c>
      <c r="D70" s="13"/>
      <c r="E7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0" s="14"/>
      <c r="G70" s="14"/>
      <c r="H70" s="15"/>
    </row>
    <row r="71" spans="1:8" ht="15.75">
      <c r="A71" s="18">
        <v>315601095000</v>
      </c>
      <c r="B71" s="1" t="s">
        <v>266</v>
      </c>
      <c r="C71" s="13" t="s">
        <v>267</v>
      </c>
      <c r="D71" s="13"/>
      <c r="E7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1" s="14"/>
      <c r="G71" s="14"/>
      <c r="H71" s="15"/>
    </row>
    <row r="72" spans="1:8" ht="15.75">
      <c r="A72" s="18">
        <v>311980085000</v>
      </c>
      <c r="B72" s="1" t="s">
        <v>270</v>
      </c>
      <c r="C72" s="13" t="s">
        <v>270</v>
      </c>
      <c r="D72" s="13"/>
      <c r="E7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2" s="14"/>
      <c r="G72" s="14"/>
      <c r="H72" s="15"/>
    </row>
    <row r="73" spans="1:8" ht="15.75">
      <c r="A73" s="18">
        <v>315601097000</v>
      </c>
      <c r="B73" s="1" t="s">
        <v>271</v>
      </c>
      <c r="C73" s="13" t="s">
        <v>272</v>
      </c>
      <c r="D73" s="13"/>
      <c r="E7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3" s="14"/>
      <c r="G73" s="14"/>
      <c r="H73" s="15"/>
    </row>
    <row r="74" spans="1:8" ht="15.75">
      <c r="A74" s="18">
        <v>311980086000</v>
      </c>
      <c r="B74" s="1" t="s">
        <v>275</v>
      </c>
      <c r="C74" s="13" t="s">
        <v>275</v>
      </c>
      <c r="D74" s="13"/>
      <c r="E7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4" s="14"/>
      <c r="G74" s="14"/>
      <c r="H74" s="15"/>
    </row>
    <row r="75" spans="1:8" ht="15.75">
      <c r="A75" s="18">
        <v>990000000020</v>
      </c>
      <c r="B75" s="1" t="s">
        <v>277</v>
      </c>
      <c r="C75" s="13" t="s">
        <v>277</v>
      </c>
      <c r="D75" s="13"/>
      <c r="E7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5" s="14"/>
      <c r="G75" s="14"/>
      <c r="H75" s="15"/>
    </row>
    <row r="76" spans="1:8" ht="15.75">
      <c r="A76" s="18">
        <v>990000000021</v>
      </c>
      <c r="B76" s="1" t="s">
        <v>278</v>
      </c>
      <c r="C76" s="13" t="s">
        <v>278</v>
      </c>
      <c r="D76" s="13"/>
      <c r="E7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6" s="14"/>
      <c r="G76" s="14"/>
      <c r="H76" s="15"/>
    </row>
    <row r="77" spans="1:8" ht="15.75">
      <c r="A77" s="18">
        <v>311400007000</v>
      </c>
      <c r="B77" s="1" t="s">
        <v>280</v>
      </c>
      <c r="C77" s="13" t="s">
        <v>281</v>
      </c>
      <c r="D77" s="13"/>
      <c r="E77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7" s="14"/>
      <c r="G77" s="14"/>
      <c r="H77" s="15"/>
    </row>
    <row r="78" spans="1:8" ht="15.75">
      <c r="A78" s="18">
        <v>990000000022</v>
      </c>
      <c r="B78" s="1" t="s">
        <v>284</v>
      </c>
      <c r="C78" s="13" t="s">
        <v>284</v>
      </c>
      <c r="D78" s="13"/>
      <c r="E78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8" s="14"/>
      <c r="G78" s="14"/>
      <c r="H78" s="15"/>
    </row>
    <row r="79" spans="1:8" ht="15.75">
      <c r="A79" s="18">
        <v>990000000023</v>
      </c>
      <c r="B79" s="1" t="s">
        <v>278</v>
      </c>
      <c r="C79" s="13" t="s">
        <v>278</v>
      </c>
      <c r="D79" s="13"/>
      <c r="E79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79" s="14"/>
      <c r="G79" s="14"/>
      <c r="H79" s="15"/>
    </row>
    <row r="80" spans="1:8" ht="15.75">
      <c r="A80" s="18">
        <v>10509006</v>
      </c>
      <c r="B80" s="1" t="s">
        <v>289</v>
      </c>
      <c r="C80" s="13" t="s">
        <v>290</v>
      </c>
      <c r="D80" s="13"/>
      <c r="E80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0" s="14"/>
      <c r="G80" s="14"/>
      <c r="H80" s="15"/>
    </row>
    <row r="81" spans="1:8" ht="15.75">
      <c r="A81" s="18">
        <v>990000000024</v>
      </c>
      <c r="B81" s="1" t="s">
        <v>293</v>
      </c>
      <c r="C81" s="13" t="s">
        <v>293</v>
      </c>
      <c r="D81" s="13"/>
      <c r="E81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1" s="14"/>
      <c r="G81" s="14"/>
      <c r="H81" s="15"/>
    </row>
    <row r="82" spans="1:8" ht="15.75">
      <c r="A82" s="18">
        <v>990000000025</v>
      </c>
      <c r="B82" s="1" t="s">
        <v>295</v>
      </c>
      <c r="C82" s="13" t="s">
        <v>295</v>
      </c>
      <c r="D82" s="13"/>
      <c r="E82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2" s="14"/>
      <c r="G82" s="14"/>
      <c r="H82" s="15"/>
    </row>
    <row r="83" spans="1:8" ht="15.75">
      <c r="A83" s="18">
        <v>319600056004</v>
      </c>
      <c r="B83" s="1" t="s">
        <v>300</v>
      </c>
      <c r="C83" s="13" t="s">
        <v>301</v>
      </c>
      <c r="D83" s="13"/>
      <c r="E83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3" s="14"/>
      <c r="G83" s="14"/>
      <c r="H83" s="15"/>
    </row>
    <row r="84" spans="1:8" ht="15.75">
      <c r="A84" s="18">
        <v>319600053004</v>
      </c>
      <c r="B84" s="1" t="s">
        <v>302</v>
      </c>
      <c r="C84" s="13" t="s">
        <v>303</v>
      </c>
      <c r="D84" s="13"/>
      <c r="E84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4" s="14"/>
      <c r="G84" s="14"/>
      <c r="H84" s="15"/>
    </row>
    <row r="85" spans="1:8" ht="15.75">
      <c r="A85" s="18">
        <v>990000000026</v>
      </c>
      <c r="B85" s="1" t="s">
        <v>305</v>
      </c>
      <c r="C85" s="1" t="s">
        <v>305</v>
      </c>
      <c r="D85" s="1"/>
      <c r="E85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5" s="14"/>
      <c r="G85" s="14"/>
      <c r="H85" s="15"/>
    </row>
    <row r="86" spans="1:8" ht="15.75">
      <c r="A86" s="18">
        <v>41000022</v>
      </c>
      <c r="B86" s="1" t="s">
        <v>307</v>
      </c>
      <c r="C86" s="13" t="s">
        <v>307</v>
      </c>
      <c r="D86" s="13"/>
      <c r="E86" s="10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F86" s="14"/>
      <c r="G86" s="14"/>
      <c r="H86" s="15"/>
    </row>
  </sheetData>
  <sheetProtection algorithmName="SHA-512" hashValue="Quf5M2jXlFH+/Os9A0+xEGm84C2PZwFp5euyeGUXwH8bebhc4VkOUaJPiXmYma0WJ/UVIkexm6WN6qxUScJK4w==" saltValue="XsoyV+RznL5BqPKGzg/gIQ==" spinCount="100000" sheet="1" objects="1" scenarios="1"/>
  <phoneticPr fontId="1" type="noConversion"/>
  <conditionalFormatting sqref="A1:A1048576">
    <cfRule type="duplicateValues" dxfId="34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2199-1797-4507-A858-E8F6B78548A2}">
  <sheetPr codeName="工作表10"/>
  <dimension ref="A1:H86"/>
  <sheetViews>
    <sheetView zoomScale="55" zoomScaleNormal="55" workbookViewId="0">
      <pane ySplit="1" topLeftCell="A2" activePane="bottomLeft" state="frozen"/>
      <selection activeCell="E15" sqref="E15"/>
      <selection pane="bottomLeft" activeCell="E10" sqref="E10"/>
    </sheetView>
  </sheetViews>
  <sheetFormatPr defaultColWidth="8.85546875" defaultRowHeight="15"/>
  <cols>
    <col min="1" max="1" width="19.35546875" style="21" bestFit="1" customWidth="1"/>
    <col min="2" max="2" width="152.5703125" style="25" bestFit="1" customWidth="1"/>
    <col min="3" max="3" width="78.140625" style="3" bestFit="1" customWidth="1"/>
    <col min="4" max="4" width="11.140625" style="3" bestFit="1" customWidth="1"/>
    <col min="5" max="5" width="12.7109375" style="3" bestFit="1" customWidth="1"/>
    <col min="6" max="6" width="8" style="3" bestFit="1" customWidth="1"/>
    <col min="7" max="7" width="20.640625" style="3" bestFit="1" customWidth="1"/>
    <col min="8" max="8" width="16.2109375" style="3" bestFit="1" customWidth="1"/>
    <col min="9" max="16384" width="8.85546875" style="3"/>
  </cols>
  <sheetData>
    <row r="1" spans="1:8" ht="22.9">
      <c r="A1" s="26" t="s">
        <v>1</v>
      </c>
      <c r="B1" s="11" t="s">
        <v>2</v>
      </c>
      <c r="C1" s="11" t="s">
        <v>3</v>
      </c>
      <c r="D1" s="11" t="s">
        <v>4</v>
      </c>
      <c r="E1" s="11" t="s">
        <v>15</v>
      </c>
      <c r="F1" s="11" t="s">
        <v>12</v>
      </c>
      <c r="G1" s="12" t="s">
        <v>70</v>
      </c>
      <c r="H1" s="22" t="s">
        <v>16</v>
      </c>
    </row>
    <row r="2" spans="1:8" ht="15.75">
      <c r="A2" s="18">
        <v>315600127001</v>
      </c>
      <c r="B2" s="1" t="s">
        <v>47</v>
      </c>
      <c r="C2" s="13" t="s">
        <v>46</v>
      </c>
      <c r="D2" s="13"/>
      <c r="E2" s="10">
        <f>SUMIFS(出入庫!F:F, 出入庫!E:E, "出庫", 出入庫!B:B, 表格2_456[[#This Row],[料號]], 出入庫!G:G, "不良品")</f>
        <v>0</v>
      </c>
      <c r="F2" s="14"/>
      <c r="G2" s="14" t="s">
        <v>73</v>
      </c>
      <c r="H2" s="15"/>
    </row>
    <row r="3" spans="1:8" ht="15.75">
      <c r="A3" s="18">
        <v>315600217001</v>
      </c>
      <c r="B3" s="1" t="s">
        <v>50</v>
      </c>
      <c r="C3" s="13" t="s">
        <v>51</v>
      </c>
      <c r="D3" s="13"/>
      <c r="E3" s="10">
        <f>SUMIFS(出入庫!F:F, 出入庫!E:E, "出庫", 出入庫!B:B, 表格2_456[[#This Row],[料號]], 出入庫!G:G, "不良品")</f>
        <v>0</v>
      </c>
      <c r="F3" s="14"/>
      <c r="G3" s="14" t="s">
        <v>74</v>
      </c>
      <c r="H3" s="15"/>
    </row>
    <row r="4" spans="1:8" ht="15.75">
      <c r="A4" s="18">
        <v>315600868001</v>
      </c>
      <c r="B4" s="1" t="s">
        <v>52</v>
      </c>
      <c r="C4" s="13" t="s">
        <v>53</v>
      </c>
      <c r="D4" s="13"/>
      <c r="E4" s="10">
        <f>SUMIFS(出入庫!F:F, 出入庫!E:E, "出庫", 出入庫!B:B, 表格2_456[[#This Row],[料號]], 出入庫!G:G, "不良品")</f>
        <v>0</v>
      </c>
      <c r="F4" s="14"/>
      <c r="G4" s="14" t="s">
        <v>75</v>
      </c>
      <c r="H4" s="15"/>
    </row>
    <row r="5" spans="1:8" ht="15.75">
      <c r="A5" s="18">
        <v>315600869000</v>
      </c>
      <c r="B5" s="1" t="s">
        <v>54</v>
      </c>
      <c r="C5" s="13" t="s">
        <v>55</v>
      </c>
      <c r="D5" s="13"/>
      <c r="E5" s="10">
        <f>SUMIFS(出入庫!F:F, 出入庫!E:E, "出庫", 出入庫!B:B, 表格2_456[[#This Row],[料號]], 出入庫!G:G, "不良品")</f>
        <v>0</v>
      </c>
      <c r="F5" s="14"/>
      <c r="G5" s="14" t="s">
        <v>76</v>
      </c>
      <c r="H5" s="15"/>
    </row>
    <row r="6" spans="1:8" ht="15.75">
      <c r="A6" s="18">
        <v>315601091000</v>
      </c>
      <c r="B6" s="1" t="s">
        <v>42</v>
      </c>
      <c r="C6" s="13" t="s">
        <v>43</v>
      </c>
      <c r="D6" s="13"/>
      <c r="E6" s="10">
        <f>SUMIFS(出入庫!F:F, 出入庫!E:E, "出庫", 出入庫!B:B, 表格2_456[[#This Row],[料號]], 出入庫!G:G, "不良品")</f>
        <v>0</v>
      </c>
      <c r="F6" s="14"/>
      <c r="G6" s="14" t="s">
        <v>77</v>
      </c>
      <c r="H6" s="15"/>
    </row>
    <row r="7" spans="1:8" ht="15.75">
      <c r="A7" s="18">
        <v>319100042008</v>
      </c>
      <c r="B7" s="1" t="s">
        <v>33</v>
      </c>
      <c r="C7" s="13" t="s">
        <v>56</v>
      </c>
      <c r="D7" s="13"/>
      <c r="E7" s="10">
        <f>SUMIFS(出入庫!F:F, 出入庫!E:E, "出庫", 出入庫!B:B, 表格2_456[[#This Row],[料號]], 出入庫!G:G, "不良品")</f>
        <v>0</v>
      </c>
      <c r="F7" s="14"/>
      <c r="G7" s="14" t="s">
        <v>78</v>
      </c>
      <c r="H7" s="15"/>
    </row>
    <row r="8" spans="1:8" ht="15.75">
      <c r="A8" s="18">
        <v>315600821003</v>
      </c>
      <c r="B8" s="1" t="s">
        <v>32</v>
      </c>
      <c r="C8" s="13" t="s">
        <v>58</v>
      </c>
      <c r="D8" s="13"/>
      <c r="E8" s="10">
        <f>SUMIFS(出入庫!F:F, 出入庫!E:E, "出庫", 出入庫!B:B, 表格2_456[[#This Row],[料號]], 出入庫!G:G, "不良品")</f>
        <v>0</v>
      </c>
      <c r="F8" s="14"/>
      <c r="G8" s="14" t="s">
        <v>80</v>
      </c>
      <c r="H8" s="15"/>
    </row>
    <row r="9" spans="1:8" ht="15.75">
      <c r="A9" s="18">
        <v>315600734000</v>
      </c>
      <c r="B9" s="1" t="s">
        <v>60</v>
      </c>
      <c r="C9" s="13" t="s">
        <v>61</v>
      </c>
      <c r="D9" s="13"/>
      <c r="E9" s="10">
        <f>SUMIFS(出入庫!F:F, 出入庫!E:E, "出庫", 出入庫!B:B, 表格2_456[[#This Row],[料號]], 出入庫!G:G, "不良品")</f>
        <v>0</v>
      </c>
      <c r="F9" s="14"/>
      <c r="G9" s="14" t="s">
        <v>83</v>
      </c>
      <c r="H9" s="15"/>
    </row>
    <row r="10" spans="1:8" ht="15.75">
      <c r="A10" s="18">
        <v>990000000004</v>
      </c>
      <c r="B10" s="1" t="s">
        <v>63</v>
      </c>
      <c r="C10" s="13" t="s">
        <v>64</v>
      </c>
      <c r="D10" s="13"/>
      <c r="E10" s="10">
        <f>SUMIFS(出入庫!F:F, 出入庫!E:E, "出庫", 出入庫!B:B, 表格2_456[[#This Row],[料號]], 出入庫!G:G, "不良品")</f>
        <v>0</v>
      </c>
      <c r="F10" s="14"/>
      <c r="G10" s="14" t="s">
        <v>84</v>
      </c>
      <c r="H10" s="15"/>
    </row>
    <row r="11" spans="1:8" ht="15.75">
      <c r="A11" s="18">
        <v>315600602000</v>
      </c>
      <c r="B11" s="1" t="s">
        <v>65</v>
      </c>
      <c r="C11" s="13" t="s">
        <v>66</v>
      </c>
      <c r="D11" s="13"/>
      <c r="E11" s="10">
        <f>SUMIFS(出入庫!F:F, 出入庫!E:E, "出庫", 出入庫!B:B, 表格2_456[[#This Row],[料號]], 出入庫!G:G, "不良品")</f>
        <v>0</v>
      </c>
      <c r="F11" s="14"/>
      <c r="G11" s="14" t="s">
        <v>85</v>
      </c>
      <c r="H11" s="15"/>
    </row>
    <row r="12" spans="1:8" ht="15.75">
      <c r="A12" s="18">
        <v>315600716001</v>
      </c>
      <c r="B12" s="1" t="s">
        <v>67</v>
      </c>
      <c r="C12" s="13" t="s">
        <v>68</v>
      </c>
      <c r="D12" s="13"/>
      <c r="E12" s="10">
        <f>SUMIFS(出入庫!F:F, 出入庫!E:E, "出庫", 出入庫!B:B, 表格2_456[[#This Row],[料號]], 出入庫!G:G, "不良品")</f>
        <v>0</v>
      </c>
      <c r="F12" s="14"/>
      <c r="G12" s="14" t="s">
        <v>86</v>
      </c>
      <c r="H12" s="15"/>
    </row>
    <row r="13" spans="1:8" ht="16.149999999999999">
      <c r="A13" s="18">
        <v>315600850000</v>
      </c>
      <c r="B13" s="1" t="s">
        <v>88</v>
      </c>
      <c r="C13" s="13" t="s">
        <v>90</v>
      </c>
      <c r="D13" s="13"/>
      <c r="E13" s="10">
        <f>SUMIFS(出入庫!F:F, 出入庫!E:E, "出庫", 出入庫!B:B, 表格2_456[[#This Row],[料號]], 出入庫!G:G, "不良品")</f>
        <v>0</v>
      </c>
      <c r="F13" s="14"/>
      <c r="G13" s="14" t="s">
        <v>87</v>
      </c>
      <c r="H13" s="15"/>
    </row>
    <row r="14" spans="1:8" ht="15.75">
      <c r="A14" s="18">
        <v>315600771000</v>
      </c>
      <c r="B14" s="1" t="s">
        <v>91</v>
      </c>
      <c r="C14" s="13" t="s">
        <v>92</v>
      </c>
      <c r="D14" s="13"/>
      <c r="E14" s="10">
        <f>SUMIFS(出入庫!F:F, 出入庫!E:E, "出庫", 出入庫!B:B, 表格2_456[[#This Row],[料號]], 出入庫!G:G, "不良品")</f>
        <v>0</v>
      </c>
      <c r="F14" s="14"/>
      <c r="G14" s="14" t="s">
        <v>93</v>
      </c>
      <c r="H14" s="15"/>
    </row>
    <row r="15" spans="1:8" ht="15.75">
      <c r="A15" s="18">
        <v>299900092003</v>
      </c>
      <c r="B15" s="1" t="s">
        <v>96</v>
      </c>
      <c r="C15" s="13" t="s">
        <v>97</v>
      </c>
      <c r="D15" s="13"/>
      <c r="E15" s="10">
        <f>SUMIFS(出入庫!F:F, 出入庫!E:E, "出庫", 出入庫!B:B, 表格2_456[[#This Row],[料號]], 出入庫!G:G, "不良品")</f>
        <v>0</v>
      </c>
      <c r="F15" s="14"/>
      <c r="G15" s="14" t="s">
        <v>98</v>
      </c>
      <c r="H15" s="15"/>
    </row>
    <row r="16" spans="1:8" ht="15.75">
      <c r="A16" s="18">
        <v>315600881002</v>
      </c>
      <c r="B16" s="1" t="s">
        <v>99</v>
      </c>
      <c r="C16" s="13" t="s">
        <v>100</v>
      </c>
      <c r="D16" s="13"/>
      <c r="E16" s="10">
        <f>SUMIFS(出入庫!F:F, 出入庫!E:E, "出庫", 出入庫!B:B, 表格2_456[[#This Row],[料號]], 出入庫!G:G, "不良品")</f>
        <v>0</v>
      </c>
      <c r="F16" s="14"/>
      <c r="G16" s="14" t="s">
        <v>101</v>
      </c>
      <c r="H16" s="15"/>
    </row>
    <row r="17" spans="1:8" ht="15.75">
      <c r="A17" s="18">
        <v>315600917002</v>
      </c>
      <c r="B17" s="1" t="s">
        <v>102</v>
      </c>
      <c r="C17" s="13" t="s">
        <v>103</v>
      </c>
      <c r="D17" s="13"/>
      <c r="E17" s="10">
        <f>SUMIFS(出入庫!F:F, 出入庫!E:E, "出庫", 出入庫!B:B, 表格2_456[[#This Row],[料號]], 出入庫!G:G, "不良品")</f>
        <v>0</v>
      </c>
      <c r="F17" s="14"/>
      <c r="G17" s="14" t="s">
        <v>104</v>
      </c>
      <c r="H17" s="15"/>
    </row>
    <row r="18" spans="1:8" ht="15.75">
      <c r="A18" s="18">
        <v>990000000006</v>
      </c>
      <c r="B18" s="1" t="s">
        <v>106</v>
      </c>
      <c r="C18" s="13" t="s">
        <v>107</v>
      </c>
      <c r="D18" s="13"/>
      <c r="E18" s="10">
        <f>SUMIFS(出入庫!F:F, 出入庫!E:E, "出庫", 出入庫!B:B, 表格2_456[[#This Row],[料號]], 出入庫!G:G, "不良品")</f>
        <v>0</v>
      </c>
      <c r="F18" s="14"/>
      <c r="G18" s="14" t="s">
        <v>108</v>
      </c>
      <c r="H18" s="15"/>
    </row>
    <row r="19" spans="1:8" ht="15.75">
      <c r="A19" s="18">
        <v>990000000007</v>
      </c>
      <c r="B19" s="1" t="s">
        <v>115</v>
      </c>
      <c r="C19" s="13" t="s">
        <v>115</v>
      </c>
      <c r="D19" s="13"/>
      <c r="E19" s="10">
        <f>SUMIFS(出入庫!F:F, 出入庫!E:E, "出庫", 出入庫!B:B, 表格2_456[[#This Row],[料號]], 出入庫!G:G, "不良品")</f>
        <v>0</v>
      </c>
      <c r="F19" s="14"/>
      <c r="G19" s="14" t="s">
        <v>109</v>
      </c>
      <c r="H19" s="15"/>
    </row>
    <row r="20" spans="1:8" ht="15.75">
      <c r="A20" s="18">
        <v>315600895002</v>
      </c>
      <c r="B20" s="1" t="s">
        <v>116</v>
      </c>
      <c r="C20" s="13" t="s">
        <v>117</v>
      </c>
      <c r="D20" s="13"/>
      <c r="E20" s="10">
        <f>SUMIFS(出入庫!F:F, 出入庫!E:E, "出庫", 出入庫!B:B, 表格2_456[[#This Row],[料號]], 出入庫!G:G, "不良品")</f>
        <v>0</v>
      </c>
      <c r="F20" s="14"/>
      <c r="G20" s="14" t="s">
        <v>118</v>
      </c>
      <c r="H20" s="15"/>
    </row>
    <row r="21" spans="1:8" ht="15.75">
      <c r="A21" s="18">
        <v>990000000008</v>
      </c>
      <c r="B21" s="1" t="s">
        <v>120</v>
      </c>
      <c r="C21" s="13" t="s">
        <v>121</v>
      </c>
      <c r="D21" s="13"/>
      <c r="E21" s="10">
        <f>SUMIFS(出入庫!F:F, 出入庫!E:E, "出庫", 出入庫!B:B, 表格2_456[[#This Row],[料號]], 出入庫!G:G, "不良品")</f>
        <v>0</v>
      </c>
      <c r="F21" s="14"/>
      <c r="G21" s="14" t="s">
        <v>119</v>
      </c>
      <c r="H21" s="15"/>
    </row>
    <row r="22" spans="1:8" ht="15.75">
      <c r="A22" s="18">
        <v>990000000009</v>
      </c>
      <c r="B22" s="1" t="s">
        <v>123</v>
      </c>
      <c r="C22" s="13" t="s">
        <v>123</v>
      </c>
      <c r="D22" s="13"/>
      <c r="E22" s="10">
        <f>SUMIFS(出入庫!F:F, 出入庫!E:E, "出庫", 出入庫!B:B, 表格2_456[[#This Row],[料號]], 出入庫!G:G, "不良品")</f>
        <v>0</v>
      </c>
      <c r="F22" s="14"/>
      <c r="G22" s="14" t="s">
        <v>122</v>
      </c>
      <c r="H22" s="15"/>
    </row>
    <row r="23" spans="1:8" ht="15.75">
      <c r="A23" s="18">
        <v>315600735000</v>
      </c>
      <c r="B23" s="1" t="s">
        <v>124</v>
      </c>
      <c r="C23" s="13" t="s">
        <v>125</v>
      </c>
      <c r="D23" s="13"/>
      <c r="E23" s="10">
        <f>SUMIFS(出入庫!F:F, 出入庫!E:E, "出庫", 出入庫!B:B, 表格2_456[[#This Row],[料號]], 出入庫!G:G, "不良品")</f>
        <v>0</v>
      </c>
      <c r="F23" s="14"/>
      <c r="G23" s="14" t="s">
        <v>126</v>
      </c>
      <c r="H23" s="15"/>
    </row>
    <row r="24" spans="1:8" ht="15.75">
      <c r="A24" s="18">
        <v>990000000010</v>
      </c>
      <c r="B24" s="1" t="s">
        <v>128</v>
      </c>
      <c r="C24" s="13" t="s">
        <v>128</v>
      </c>
      <c r="D24" s="13"/>
      <c r="E24" s="10">
        <f>SUMIFS(出入庫!F:F, 出入庫!E:E, "出庫", 出入庫!B:B, 表格2_456[[#This Row],[料號]], 出入庫!G:G, "不良品")</f>
        <v>0</v>
      </c>
      <c r="F24" s="14"/>
      <c r="G24" s="14" t="s">
        <v>127</v>
      </c>
      <c r="H24" s="15"/>
    </row>
    <row r="25" spans="1:8" ht="15.75">
      <c r="A25" s="18">
        <v>315600794000</v>
      </c>
      <c r="B25" s="1" t="s">
        <v>134</v>
      </c>
      <c r="C25" s="13" t="s">
        <v>135</v>
      </c>
      <c r="D25" s="13"/>
      <c r="E25" s="10">
        <f>SUMIFS(出入庫!F:F, 出入庫!E:E, "出庫", 出入庫!B:B, 表格2_456[[#This Row],[料號]], 出入庫!G:G, "不良品")</f>
        <v>0</v>
      </c>
      <c r="F25" s="14"/>
      <c r="G25" s="14" t="s">
        <v>133</v>
      </c>
      <c r="H25" s="15"/>
    </row>
    <row r="26" spans="1:8" ht="15.75">
      <c r="A26" s="18">
        <v>319600038005</v>
      </c>
      <c r="B26" s="1" t="s">
        <v>136</v>
      </c>
      <c r="C26" s="13" t="s">
        <v>137</v>
      </c>
      <c r="D26" s="13"/>
      <c r="E26" s="10">
        <f>SUMIFS(出入庫!F:F, 出入庫!E:E, "出庫", 出入庫!B:B, 表格2_456[[#This Row],[料號]], 出入庫!G:G, "不良品")</f>
        <v>0</v>
      </c>
      <c r="F26" s="14"/>
      <c r="G26" s="14" t="s">
        <v>138</v>
      </c>
      <c r="H26" s="15"/>
    </row>
    <row r="27" spans="1:8" ht="15.75">
      <c r="A27" s="18">
        <v>319000056004</v>
      </c>
      <c r="B27" s="1" t="s">
        <v>139</v>
      </c>
      <c r="C27" s="13" t="s">
        <v>140</v>
      </c>
      <c r="D27" s="13"/>
      <c r="E27" s="10">
        <f>SUMIFS(出入庫!F:F, 出入庫!E:E, "出庫", 出入庫!B:B, 表格2_456[[#This Row],[料號]], 出入庫!G:G, "不良品")</f>
        <v>0</v>
      </c>
      <c r="F27" s="14"/>
      <c r="G27" s="14" t="s">
        <v>141</v>
      </c>
      <c r="H27" s="15"/>
    </row>
    <row r="28" spans="1:8" ht="15.75">
      <c r="A28" s="18">
        <v>315600415000</v>
      </c>
      <c r="B28" s="1" t="s">
        <v>142</v>
      </c>
      <c r="C28" s="13" t="s">
        <v>143</v>
      </c>
      <c r="D28" s="13"/>
      <c r="E28" s="10">
        <f>SUMIFS(出入庫!F:F, 出入庫!E:E, "出庫", 出入庫!B:B, 表格2_456[[#This Row],[料號]], 出入庫!G:G, "不良品")</f>
        <v>0</v>
      </c>
      <c r="F28" s="14"/>
      <c r="G28" s="14" t="s">
        <v>144</v>
      </c>
      <c r="H28" s="15"/>
    </row>
    <row r="29" spans="1:8" ht="15.75">
      <c r="A29" s="18">
        <v>319100057001</v>
      </c>
      <c r="B29" s="1" t="s">
        <v>145</v>
      </c>
      <c r="C29" s="13" t="s">
        <v>146</v>
      </c>
      <c r="D29" s="13"/>
      <c r="E29" s="10">
        <f>SUMIFS(出入庫!F:F, 出入庫!E:E, "出庫", 出入庫!B:B, 表格2_456[[#This Row],[料號]], 出入庫!G:G, "不良品")</f>
        <v>0</v>
      </c>
      <c r="F29" s="14"/>
      <c r="G29" s="14" t="s">
        <v>147</v>
      </c>
      <c r="H29" s="15"/>
    </row>
    <row r="30" spans="1:8" ht="15.75">
      <c r="A30" s="18">
        <v>315601033002</v>
      </c>
      <c r="B30" s="1" t="s">
        <v>148</v>
      </c>
      <c r="C30" s="13" t="s">
        <v>149</v>
      </c>
      <c r="D30" s="13"/>
      <c r="E30" s="10">
        <f>SUMIFS(出入庫!F:F, 出入庫!E:E, "出庫", 出入庫!B:B, 表格2_456[[#This Row],[料號]], 出入庫!G:G, "不良品")</f>
        <v>0</v>
      </c>
      <c r="F30" s="14"/>
      <c r="G30" s="14" t="s">
        <v>150</v>
      </c>
      <c r="H30" s="15"/>
    </row>
    <row r="31" spans="1:8" ht="15.75">
      <c r="A31" s="18">
        <v>315601052000</v>
      </c>
      <c r="B31" s="1" t="s">
        <v>151</v>
      </c>
      <c r="C31" s="13" t="s">
        <v>152</v>
      </c>
      <c r="D31" s="13"/>
      <c r="E31" s="10">
        <f>SUMIFS(出入庫!F:F, 出入庫!E:E, "出庫", 出入庫!B:B, 表格2_456[[#This Row],[料號]], 出入庫!G:G, "不良品")</f>
        <v>0</v>
      </c>
      <c r="F31" s="14"/>
      <c r="G31" s="14" t="s">
        <v>153</v>
      </c>
      <c r="H31" s="15"/>
    </row>
    <row r="32" spans="1:8" ht="15.75">
      <c r="A32" s="18">
        <v>315601040000</v>
      </c>
      <c r="B32" s="1" t="s">
        <v>154</v>
      </c>
      <c r="C32" s="13" t="s">
        <v>155</v>
      </c>
      <c r="D32" s="13"/>
      <c r="E32" s="10">
        <f>SUMIFS(出入庫!F:F, 出入庫!E:E, "出庫", 出入庫!B:B, 表格2_456[[#This Row],[料號]], 出入庫!G:G, "不良品")</f>
        <v>0</v>
      </c>
      <c r="F32" s="14"/>
      <c r="G32" s="14" t="s">
        <v>156</v>
      </c>
      <c r="H32" s="15"/>
    </row>
    <row r="33" spans="1:8" ht="15.75">
      <c r="A33" s="18">
        <v>315600660000</v>
      </c>
      <c r="B33" s="1" t="s">
        <v>34</v>
      </c>
      <c r="C33" s="13" t="s">
        <v>157</v>
      </c>
      <c r="D33" s="13"/>
      <c r="E33" s="10">
        <f>SUMIFS(出入庫!F:F, 出入庫!E:E, "出庫", 出入庫!B:B, 表格2_456[[#This Row],[料號]], 出入庫!G:G, "不良品")</f>
        <v>0</v>
      </c>
      <c r="F33" s="14"/>
      <c r="G33" s="14" t="s">
        <v>81</v>
      </c>
      <c r="H33" s="15"/>
    </row>
    <row r="34" spans="1:8" ht="15.75">
      <c r="A34" s="18">
        <v>315601026000</v>
      </c>
      <c r="B34" s="1" t="s">
        <v>158</v>
      </c>
      <c r="C34" s="13" t="s">
        <v>159</v>
      </c>
      <c r="D34" s="13"/>
      <c r="E34" s="10">
        <f>SUMIFS(出入庫!F:F, 出入庫!E:E, "出庫", 出入庫!B:B, 表格2_456[[#This Row],[料號]], 出入庫!G:G, "不良品")</f>
        <v>0</v>
      </c>
      <c r="F34" s="14"/>
      <c r="G34" s="14" t="s">
        <v>82</v>
      </c>
      <c r="H34" s="15"/>
    </row>
    <row r="35" spans="1:8" ht="15.75">
      <c r="A35" s="18">
        <v>315600742002</v>
      </c>
      <c r="B35" s="1" t="s">
        <v>160</v>
      </c>
      <c r="C35" s="13" t="s">
        <v>161</v>
      </c>
      <c r="D35" s="13"/>
      <c r="E35" s="10">
        <f>SUMIFS(出入庫!F:F, 出入庫!E:E, "出庫", 出入庫!B:B, 表格2_456[[#This Row],[料號]], 出入庫!G:G, "不良品")</f>
        <v>0</v>
      </c>
      <c r="F35" s="14"/>
      <c r="G35" s="14" t="s">
        <v>162</v>
      </c>
      <c r="H35" s="15"/>
    </row>
    <row r="36" spans="1:8" ht="15.75">
      <c r="A36" s="18">
        <v>315600732001</v>
      </c>
      <c r="B36" s="1" t="s">
        <v>163</v>
      </c>
      <c r="C36" s="13" t="s">
        <v>164</v>
      </c>
      <c r="D36" s="13"/>
      <c r="E36" s="10">
        <f>SUMIFS(出入庫!F:F, 出入庫!E:E, "出庫", 出入庫!B:B, 表格2_456[[#This Row],[料號]], 出入庫!G:G, "不良品")</f>
        <v>0</v>
      </c>
      <c r="F36" s="14"/>
      <c r="G36" s="14" t="s">
        <v>79</v>
      </c>
      <c r="H36" s="15"/>
    </row>
    <row r="37" spans="1:8" ht="15.75">
      <c r="A37" s="18">
        <v>319100050000</v>
      </c>
      <c r="B37" s="1" t="s">
        <v>165</v>
      </c>
      <c r="C37" s="13" t="s">
        <v>166</v>
      </c>
      <c r="D37" s="13"/>
      <c r="E37" s="10">
        <f>SUMIFS(出入庫!F:F, 出入庫!E:E, "出庫", 出入庫!B:B, 表格2_456[[#This Row],[料號]], 出入庫!G:G, "不良品")</f>
        <v>0</v>
      </c>
      <c r="F37" s="14"/>
      <c r="G37" s="14" t="s">
        <v>105</v>
      </c>
      <c r="H37" s="15"/>
    </row>
    <row r="38" spans="1:8" ht="15.75">
      <c r="A38" s="18">
        <v>315600635001</v>
      </c>
      <c r="B38" s="1" t="s">
        <v>167</v>
      </c>
      <c r="C38" s="13" t="s">
        <v>168</v>
      </c>
      <c r="D38" s="13"/>
      <c r="E38" s="10">
        <f>SUMIFS(出入庫!F:F, 出入庫!E:E, "出庫", 出入庫!B:B, 表格2_456[[#This Row],[料號]], 出入庫!G:G, "不良品")</f>
        <v>0</v>
      </c>
      <c r="F38" s="14"/>
      <c r="G38" s="14" t="s">
        <v>169</v>
      </c>
      <c r="H38" s="15"/>
    </row>
    <row r="39" spans="1:8" ht="15.75">
      <c r="A39" s="18">
        <v>315600637000</v>
      </c>
      <c r="B39" s="1" t="s">
        <v>170</v>
      </c>
      <c r="C39" s="13" t="s">
        <v>171</v>
      </c>
      <c r="D39" s="13"/>
      <c r="E39" s="10">
        <f>SUMIFS(出入庫!F:F, 出入庫!E:E, "出庫", 出入庫!B:B, 表格2_456[[#This Row],[料號]], 出入庫!G:G, "不良品")</f>
        <v>0</v>
      </c>
      <c r="F39" s="14"/>
      <c r="G39" s="14" t="s">
        <v>172</v>
      </c>
      <c r="H39" s="15"/>
    </row>
    <row r="40" spans="1:8" ht="15.75">
      <c r="A40" s="18">
        <v>990000000001</v>
      </c>
      <c r="B40" s="1" t="s">
        <v>174</v>
      </c>
      <c r="C40" s="13" t="s">
        <v>297</v>
      </c>
      <c r="D40" s="13"/>
      <c r="E40" s="10">
        <f>SUMIFS(出入庫!F:F, 出入庫!E:E, "出庫", 出入庫!B:B, 表格2_456[[#This Row],[料號]], 出入庫!G:G, "不良品")</f>
        <v>0</v>
      </c>
      <c r="F40" s="14"/>
      <c r="G40" s="14" t="s">
        <v>173</v>
      </c>
      <c r="H40" s="15"/>
    </row>
    <row r="41" spans="1:8" ht="16.149999999999999">
      <c r="A41" s="18">
        <v>990000000002</v>
      </c>
      <c r="B41" s="1" t="s">
        <v>178</v>
      </c>
      <c r="C41" s="30" t="s">
        <v>184</v>
      </c>
      <c r="D41" s="30"/>
      <c r="E41" s="10">
        <f>SUMIFS(出入庫!F:F, 出入庫!E:E, "出庫", 出入庫!B:B, 表格2_456[[#This Row],[料號]], 出入庫!G:G, "不良品")</f>
        <v>0</v>
      </c>
      <c r="F41" s="14"/>
      <c r="G41" s="14" t="s">
        <v>175</v>
      </c>
      <c r="H41" s="15"/>
    </row>
    <row r="42" spans="1:8" ht="15.75">
      <c r="A42" s="18">
        <v>315600998000</v>
      </c>
      <c r="B42" s="1" t="s">
        <v>154</v>
      </c>
      <c r="C42" s="13" t="s">
        <v>179</v>
      </c>
      <c r="D42" s="13"/>
      <c r="E42" s="10">
        <f>SUMIFS(出入庫!F:F, 出入庫!E:E, "出庫", 出入庫!B:B, 表格2_456[[#This Row],[料號]], 出入庫!G:G, "不良品")</f>
        <v>0</v>
      </c>
      <c r="F42" s="14"/>
      <c r="G42" s="14" t="s">
        <v>180</v>
      </c>
      <c r="H42" s="15"/>
    </row>
    <row r="43" spans="1:8" ht="15.75">
      <c r="A43" s="18">
        <v>315600218000</v>
      </c>
      <c r="B43" s="1" t="s">
        <v>181</v>
      </c>
      <c r="C43" s="13" t="s">
        <v>182</v>
      </c>
      <c r="D43" s="13"/>
      <c r="E43" s="10">
        <f>SUMIFS(出入庫!F:F, 出入庫!E:E, "出庫", 出入庫!B:B, 表格2_456[[#This Row],[料號]], 出入庫!G:G, "不良品")</f>
        <v>0</v>
      </c>
      <c r="F43" s="14"/>
      <c r="G43" s="14" t="s">
        <v>183</v>
      </c>
      <c r="H43" s="15"/>
    </row>
    <row r="44" spans="1:8" ht="15.75">
      <c r="A44" s="18">
        <v>315601016001</v>
      </c>
      <c r="B44" s="1" t="s">
        <v>186</v>
      </c>
      <c r="C44" s="13" t="s">
        <v>188</v>
      </c>
      <c r="D44" s="13"/>
      <c r="E44" s="10">
        <f>SUMIFS(出入庫!F:F, 出入庫!E:E, "出庫", 出入庫!B:B, 表格2_456[[#This Row],[料號]], 出入庫!G:G, "不良品")</f>
        <v>0</v>
      </c>
      <c r="F44" s="14"/>
      <c r="G44" s="14" t="s">
        <v>189</v>
      </c>
      <c r="H44" s="15"/>
    </row>
    <row r="45" spans="1:8" ht="15.75">
      <c r="A45" s="18">
        <v>990000000003</v>
      </c>
      <c r="B45" s="1" t="s">
        <v>191</v>
      </c>
      <c r="C45" s="13" t="s">
        <v>188</v>
      </c>
      <c r="D45" s="13"/>
      <c r="E45" s="10">
        <f>SUMIFS(出入庫!F:F, 出入庫!E:E, "出庫", 出入庫!B:B, 表格2_456[[#This Row],[料號]], 出入庫!G:G, "不良品")</f>
        <v>0</v>
      </c>
      <c r="F45" s="14"/>
      <c r="G45" s="14" t="s">
        <v>190</v>
      </c>
      <c r="H45" s="15"/>
    </row>
    <row r="46" spans="1:8" ht="15.75">
      <c r="A46" s="18">
        <v>319600045006</v>
      </c>
      <c r="B46" s="1" t="s">
        <v>192</v>
      </c>
      <c r="C46" s="13" t="s">
        <v>193</v>
      </c>
      <c r="D46" s="13"/>
      <c r="E46" s="10">
        <f>SUMIFS(出入庫!F:F, 出入庫!E:E, "出庫", 出入庫!B:B, 表格2_456[[#This Row],[料號]], 出入庫!G:G, "不良品")</f>
        <v>0</v>
      </c>
      <c r="F46" s="14"/>
      <c r="G46" s="14" t="s">
        <v>194</v>
      </c>
      <c r="H46" s="15"/>
    </row>
    <row r="47" spans="1:8" ht="15.75">
      <c r="A47" s="18">
        <v>990000000005</v>
      </c>
      <c r="B47" s="1" t="s">
        <v>199</v>
      </c>
      <c r="C47" s="13" t="s">
        <v>200</v>
      </c>
      <c r="D47" s="13"/>
      <c r="E47" s="10">
        <f>SUMIFS(出入庫!F:F, 出入庫!E:E, "出庫", 出入庫!B:B, 表格2_456[[#This Row],[料號]], 出入庫!G:G, "不良品")</f>
        <v>0</v>
      </c>
      <c r="F47" s="14"/>
      <c r="G47" s="14" t="s">
        <v>198</v>
      </c>
      <c r="H47" s="15"/>
    </row>
    <row r="48" spans="1:8" ht="15.75">
      <c r="A48" s="18">
        <v>315600715000</v>
      </c>
      <c r="B48" s="1" t="s">
        <v>201</v>
      </c>
      <c r="C48" s="13" t="s">
        <v>202</v>
      </c>
      <c r="D48" s="13"/>
      <c r="E48" s="10">
        <f>SUMIFS(出入庫!F:F, 出入庫!E:E, "出庫", 出入庫!B:B, 表格2_456[[#This Row],[料號]], 出入庫!G:G, "不良品")</f>
        <v>0</v>
      </c>
      <c r="F48" s="14"/>
      <c r="G48" s="14" t="s">
        <v>203</v>
      </c>
      <c r="H48" s="15"/>
    </row>
    <row r="49" spans="1:8" ht="15.75">
      <c r="A49" s="18">
        <v>319000066000</v>
      </c>
      <c r="B49" s="1" t="s">
        <v>204</v>
      </c>
      <c r="C49" s="13" t="s">
        <v>205</v>
      </c>
      <c r="D49" s="13"/>
      <c r="E49" s="10">
        <f>SUMIFS(出入庫!F:F, 出入庫!E:E, "出庫", 出入庫!B:B, 表格2_456[[#This Row],[料號]], 出入庫!G:G, "不良品")</f>
        <v>0</v>
      </c>
      <c r="F49" s="14"/>
      <c r="G49" s="14" t="s">
        <v>206</v>
      </c>
      <c r="H49" s="15"/>
    </row>
    <row r="50" spans="1:8" ht="15.75">
      <c r="A50" s="18">
        <v>315601039000</v>
      </c>
      <c r="B50" s="1" t="s">
        <v>209</v>
      </c>
      <c r="C50" s="13" t="s">
        <v>210</v>
      </c>
      <c r="D50" s="13"/>
      <c r="E50" s="10">
        <f>SUMIFS(出入庫!F:F, 出入庫!E:E, "出庫", 出入庫!B:B, 表格2_456[[#This Row],[料號]], 出入庫!G:G, "不良品")</f>
        <v>0</v>
      </c>
      <c r="F50" s="14"/>
      <c r="G50" s="14" t="s">
        <v>207</v>
      </c>
      <c r="H50" s="15"/>
    </row>
    <row r="51" spans="1:8" ht="15.75">
      <c r="A51" s="18">
        <v>315600849000</v>
      </c>
      <c r="B51" s="1" t="s">
        <v>211</v>
      </c>
      <c r="C51" s="13" t="s">
        <v>212</v>
      </c>
      <c r="D51" s="13"/>
      <c r="E51" s="10">
        <f>SUMIFS(出入庫!F:F, 出入庫!E:E, "出庫", 出入庫!B:B, 表格2_456[[#This Row],[料號]], 出入庫!G:G, "不良品")</f>
        <v>0</v>
      </c>
      <c r="F51" s="14"/>
      <c r="G51" s="14" t="s">
        <v>213</v>
      </c>
      <c r="H51" s="15"/>
    </row>
    <row r="52" spans="1:8" ht="15.75">
      <c r="A52" s="18">
        <v>315600737000</v>
      </c>
      <c r="B52" s="1" t="s">
        <v>214</v>
      </c>
      <c r="C52" s="13" t="s">
        <v>215</v>
      </c>
      <c r="D52" s="13"/>
      <c r="E52" s="10">
        <f>SUMIFS(出入庫!F:F, 出入庫!E:E, "出庫", 出入庫!B:B, 表格2_456[[#This Row],[料號]], 出入庫!G:G, "不良品")</f>
        <v>0</v>
      </c>
      <c r="F52" s="14"/>
      <c r="G52" s="14" t="s">
        <v>216</v>
      </c>
      <c r="H52" s="15"/>
    </row>
    <row r="53" spans="1:8" ht="15.75">
      <c r="A53" s="18">
        <v>315600954000</v>
      </c>
      <c r="B53" s="1" t="s">
        <v>217</v>
      </c>
      <c r="C53" s="13" t="s">
        <v>218</v>
      </c>
      <c r="D53" s="13"/>
      <c r="E53" s="10">
        <f>SUMIFS(出入庫!F:F, 出入庫!E:E, "出庫", 出入庫!B:B, 表格2_456[[#This Row],[料號]], 出入庫!G:G, "不良品")</f>
        <v>0</v>
      </c>
      <c r="F53" s="14"/>
      <c r="G53" s="14" t="s">
        <v>219</v>
      </c>
      <c r="H53" s="15"/>
    </row>
    <row r="54" spans="1:8" ht="15.75">
      <c r="A54" s="18">
        <v>315600831001</v>
      </c>
      <c r="B54" s="1" t="s">
        <v>220</v>
      </c>
      <c r="C54" s="13" t="s">
        <v>221</v>
      </c>
      <c r="D54" s="13"/>
      <c r="E54" s="10">
        <f>SUMIFS(出入庫!F:F, 出入庫!E:E, "出庫", 出入庫!B:B, 表格2_456[[#This Row],[料號]], 出入庫!G:G, "不良品")</f>
        <v>0</v>
      </c>
      <c r="F54" s="14"/>
      <c r="G54" s="14" t="s">
        <v>222</v>
      </c>
      <c r="H54" s="15"/>
    </row>
    <row r="55" spans="1:8" ht="15.75">
      <c r="A55" s="18">
        <v>315600797002</v>
      </c>
      <c r="B55" s="1" t="s">
        <v>226</v>
      </c>
      <c r="C55" s="13" t="s">
        <v>227</v>
      </c>
      <c r="D55" s="13"/>
      <c r="E55" s="10">
        <f>SUMIFS(出入庫!F:F, 出入庫!E:E, "出庫", 出入庫!B:B, 表格2_456[[#This Row],[料號]], 出入庫!G:G, "不良品")</f>
        <v>0</v>
      </c>
      <c r="F55" s="14"/>
      <c r="G55" s="14" t="s">
        <v>228</v>
      </c>
      <c r="H55" s="15"/>
    </row>
    <row r="56" spans="1:8" ht="15.75">
      <c r="A56" s="18">
        <v>315600974001</v>
      </c>
      <c r="B56" s="1" t="s">
        <v>229</v>
      </c>
      <c r="C56" s="13" t="s">
        <v>230</v>
      </c>
      <c r="D56" s="13"/>
      <c r="E56" s="10">
        <f>SUMIFS(出入庫!F:F, 出入庫!E:E, "出庫", 出入庫!B:B, 表格2_456[[#This Row],[料號]], 出入庫!G:G, "不良品")</f>
        <v>0</v>
      </c>
      <c r="F56" s="14"/>
      <c r="G56" s="14" t="s">
        <v>231</v>
      </c>
      <c r="H56" s="15"/>
    </row>
    <row r="57" spans="1:8" ht="15.75">
      <c r="A57" s="18">
        <v>319000077002</v>
      </c>
      <c r="B57" s="1" t="s">
        <v>232</v>
      </c>
      <c r="C57" s="13" t="s">
        <v>233</v>
      </c>
      <c r="D57" s="13"/>
      <c r="E57" s="10">
        <f>SUMIFS(出入庫!F:F, 出入庫!E:E, "出庫", 出入庫!B:B, 表格2_456[[#This Row],[料號]], 出入庫!G:G, "不良品")</f>
        <v>0</v>
      </c>
      <c r="F57" s="14"/>
      <c r="G57" s="14" t="s">
        <v>234</v>
      </c>
      <c r="H57" s="15"/>
    </row>
    <row r="58" spans="1:8" ht="15.75">
      <c r="A58" s="18">
        <v>315600381000</v>
      </c>
      <c r="B58" s="1" t="s">
        <v>235</v>
      </c>
      <c r="C58" s="13" t="s">
        <v>225</v>
      </c>
      <c r="D58" s="13"/>
      <c r="E58" s="10">
        <f>SUMIFS(出入庫!F:F, 出入庫!E:E, "出庫", 出入庫!B:B, 表格2_456[[#This Row],[料號]], 出入庫!G:G, "不良品")</f>
        <v>0</v>
      </c>
      <c r="F58" s="14"/>
      <c r="G58" s="14" t="s">
        <v>224</v>
      </c>
      <c r="H58" s="15"/>
    </row>
    <row r="59" spans="1:8" ht="15.75">
      <c r="A59" s="18">
        <v>315600859000</v>
      </c>
      <c r="B59" s="1" t="s">
        <v>236</v>
      </c>
      <c r="C59" s="13" t="s">
        <v>237</v>
      </c>
      <c r="D59" s="13"/>
      <c r="E59" s="10">
        <f>SUMIFS(出入庫!F:F, 出入庫!E:E, "出庫", 出入庫!B:B, 表格2_456[[#This Row],[料號]], 出入庫!G:G, "不良品")</f>
        <v>0</v>
      </c>
      <c r="F59" s="14"/>
      <c r="G59" s="14" t="s">
        <v>238</v>
      </c>
      <c r="H59" s="15"/>
    </row>
    <row r="60" spans="1:8" ht="15.75">
      <c r="A60" s="18">
        <v>990000000011</v>
      </c>
      <c r="B60" s="1" t="s">
        <v>243</v>
      </c>
      <c r="C60" s="13" t="s">
        <v>244</v>
      </c>
      <c r="D60" s="13"/>
      <c r="E60" s="10">
        <f>SUMIFS(出入庫!F:F, 出入庫!E:E, "出庫", 出入庫!B:B, 表格2_456[[#This Row],[料號]], 出入庫!G:G, "不良品")</f>
        <v>0</v>
      </c>
      <c r="F60" s="14"/>
      <c r="G60" s="14" t="s">
        <v>242</v>
      </c>
      <c r="H60" s="15"/>
    </row>
    <row r="61" spans="1:8" ht="15.75">
      <c r="A61" s="18">
        <v>990000000012</v>
      </c>
      <c r="B61" s="1" t="s">
        <v>245</v>
      </c>
      <c r="C61" s="13" t="s">
        <v>245</v>
      </c>
      <c r="D61" s="13"/>
      <c r="E61" s="10">
        <f>SUMIFS(出入庫!F:F, 出入庫!E:E, "出庫", 出入庫!B:B, 表格2_456[[#This Row],[料號]], 出入庫!G:G, "不良品")</f>
        <v>0</v>
      </c>
      <c r="F61" s="14"/>
      <c r="G61" s="14" t="s">
        <v>246</v>
      </c>
      <c r="H61" s="15"/>
    </row>
    <row r="62" spans="1:8" ht="15.75">
      <c r="A62" s="18">
        <v>319600063003</v>
      </c>
      <c r="B62" s="1" t="s">
        <v>247</v>
      </c>
      <c r="C62" s="13" t="s">
        <v>248</v>
      </c>
      <c r="D62" s="13"/>
      <c r="E62" s="10">
        <f>SUMIFS(出入庫!F:F, 出入庫!E:E, "出庫", 出入庫!B:B, 表格2_456[[#This Row],[料號]], 出入庫!G:G, "不良品")</f>
        <v>0</v>
      </c>
      <c r="F62" s="14"/>
      <c r="G62" s="14" t="s">
        <v>249</v>
      </c>
      <c r="H62" s="15"/>
    </row>
    <row r="63" spans="1:8" ht="15.75">
      <c r="A63" s="18">
        <v>990000000013</v>
      </c>
      <c r="B63" s="1" t="s">
        <v>250</v>
      </c>
      <c r="C63" s="13" t="s">
        <v>250</v>
      </c>
      <c r="D63" s="13"/>
      <c r="E63" s="10">
        <f>SUMIFS(出入庫!F:F, 出入庫!E:E, "出庫", 出入庫!B:B, 表格2_456[[#This Row],[料號]], 出入庫!G:G, "不良品")</f>
        <v>0</v>
      </c>
      <c r="F63" s="14"/>
      <c r="G63" s="14" t="s">
        <v>251</v>
      </c>
      <c r="H63" s="15"/>
    </row>
    <row r="64" spans="1:8" ht="15.75">
      <c r="A64" s="18">
        <v>980000000001</v>
      </c>
      <c r="B64" s="1" t="s">
        <v>253</v>
      </c>
      <c r="C64" s="13" t="s">
        <v>254</v>
      </c>
      <c r="D64" s="13"/>
      <c r="E64" s="10">
        <f>SUMIFS(出入庫!F:F, 出入庫!E:E, "出庫", 出入庫!B:B, 表格2_456[[#This Row],[料號]], 出入庫!G:G, "不良品")</f>
        <v>0</v>
      </c>
      <c r="F64" s="14"/>
      <c r="G64" s="14" t="s">
        <v>252</v>
      </c>
      <c r="H64" s="15"/>
    </row>
    <row r="65" spans="1:8" ht="15.75">
      <c r="A65" s="18">
        <v>990000000014</v>
      </c>
      <c r="B65" s="1" t="s">
        <v>255</v>
      </c>
      <c r="C65" s="13" t="s">
        <v>255</v>
      </c>
      <c r="D65" s="13"/>
      <c r="E65" s="10">
        <f>SUMIFS(出入庫!F:F, 出入庫!E:E, "出庫", 出入庫!B:B, 表格2_456[[#This Row],[料號]], 出入庫!G:G, "不良品")</f>
        <v>0</v>
      </c>
      <c r="F65" s="14"/>
      <c r="G65" s="14" t="s">
        <v>256</v>
      </c>
      <c r="H65" s="15"/>
    </row>
    <row r="66" spans="1:8" ht="15.75">
      <c r="A66" s="18">
        <v>990000000015</v>
      </c>
      <c r="B66" s="1" t="s">
        <v>258</v>
      </c>
      <c r="C66" s="13" t="s">
        <v>258</v>
      </c>
      <c r="D66" s="13"/>
      <c r="E66" s="10">
        <f>SUMIFS(出入庫!F:F, 出入庫!E:E, "出庫", 出入庫!B:B, 表格2_456[[#This Row],[料號]], 出入庫!G:G, "不良品")</f>
        <v>0</v>
      </c>
      <c r="F66" s="14"/>
      <c r="G66" s="14" t="s">
        <v>257</v>
      </c>
      <c r="H66" s="15"/>
    </row>
    <row r="67" spans="1:8" ht="15.75">
      <c r="A67" s="18">
        <v>990000000016</v>
      </c>
      <c r="B67" s="1" t="s">
        <v>259</v>
      </c>
      <c r="C67" s="13" t="s">
        <v>259</v>
      </c>
      <c r="D67" s="13"/>
      <c r="E67" s="10">
        <f>SUMIFS(出入庫!F:F, 出入庫!E:E, "出庫", 出入庫!B:B, 表格2_456[[#This Row],[料號]], 出入庫!G:G, "不良品")</f>
        <v>0</v>
      </c>
      <c r="F67" s="14"/>
      <c r="G67" s="14" t="s">
        <v>260</v>
      </c>
      <c r="H67" s="15"/>
    </row>
    <row r="68" spans="1:8" ht="15.75">
      <c r="A68" s="18">
        <v>990000000017</v>
      </c>
      <c r="B68" s="1" t="s">
        <v>261</v>
      </c>
      <c r="C68" s="13" t="s">
        <v>261</v>
      </c>
      <c r="D68" s="13"/>
      <c r="E68" s="10">
        <f>SUMIFS(出入庫!F:F, 出入庫!E:E, "出庫", 出入庫!B:B, 表格2_456[[#This Row],[料號]], 出入庫!G:G, "不良品")</f>
        <v>0</v>
      </c>
      <c r="F68" s="14"/>
      <c r="G68" s="14" t="s">
        <v>262</v>
      </c>
      <c r="H68" s="15"/>
    </row>
    <row r="69" spans="1:8" ht="15.75">
      <c r="A69" s="18">
        <v>990000000018</v>
      </c>
      <c r="B69" s="1" t="s">
        <v>245</v>
      </c>
      <c r="C69" s="13" t="s">
        <v>245</v>
      </c>
      <c r="D69" s="13"/>
      <c r="E69" s="10">
        <f>SUMIFS(出入庫!F:F, 出入庫!E:E, "出庫", 出入庫!B:B, 表格2_456[[#This Row],[料號]], 出入庫!G:G, "不良品")</f>
        <v>0</v>
      </c>
      <c r="F69" s="14"/>
      <c r="G69" s="14" t="s">
        <v>263</v>
      </c>
      <c r="H69" s="15"/>
    </row>
    <row r="70" spans="1:8" ht="15.75">
      <c r="A70" s="18">
        <v>990000000019</v>
      </c>
      <c r="B70" s="1" t="s">
        <v>250</v>
      </c>
      <c r="C70" s="13" t="s">
        <v>250</v>
      </c>
      <c r="D70" s="13"/>
      <c r="E70" s="10">
        <f>SUMIFS(出入庫!F:F, 出入庫!E:E, "出庫", 出入庫!B:B, 表格2_456[[#This Row],[料號]], 出入庫!G:G, "不良品")</f>
        <v>0</v>
      </c>
      <c r="F70" s="14"/>
      <c r="G70" s="14" t="s">
        <v>264</v>
      </c>
      <c r="H70" s="15"/>
    </row>
    <row r="71" spans="1:8" ht="15.75">
      <c r="A71" s="18">
        <v>315601095000</v>
      </c>
      <c r="B71" s="1" t="s">
        <v>266</v>
      </c>
      <c r="C71" s="13" t="s">
        <v>267</v>
      </c>
      <c r="D71" s="13"/>
      <c r="E71" s="10">
        <f>SUMIFS(出入庫!F:F, 出入庫!E:E, "出庫", 出入庫!B:B, 表格2_456[[#This Row],[料號]], 出入庫!G:G, "不良品")</f>
        <v>0</v>
      </c>
      <c r="F71" s="14"/>
      <c r="G71" s="14" t="s">
        <v>265</v>
      </c>
      <c r="H71" s="15"/>
    </row>
    <row r="72" spans="1:8" ht="15.75">
      <c r="A72" s="18">
        <v>311980085000</v>
      </c>
      <c r="B72" s="1" t="s">
        <v>270</v>
      </c>
      <c r="C72" s="13" t="s">
        <v>270</v>
      </c>
      <c r="D72" s="13"/>
      <c r="E72" s="10">
        <f>SUMIFS(出入庫!F:F, 出入庫!E:E, "出庫", 出入庫!B:B, 表格2_456[[#This Row],[料號]], 出入庫!G:G, "不良品")</f>
        <v>0</v>
      </c>
      <c r="F72" s="14"/>
      <c r="G72" s="14" t="s">
        <v>268</v>
      </c>
      <c r="H72" s="15"/>
    </row>
    <row r="73" spans="1:8" ht="15.75">
      <c r="A73" s="18">
        <v>315601097000</v>
      </c>
      <c r="B73" s="1" t="s">
        <v>271</v>
      </c>
      <c r="C73" s="13" t="s">
        <v>272</v>
      </c>
      <c r="D73" s="13"/>
      <c r="E73" s="10">
        <f>SUMIFS(出入庫!F:F, 出入庫!E:E, "出庫", 出入庫!B:B, 表格2_456[[#This Row],[料號]], 出入庫!G:G, "不良品")</f>
        <v>0</v>
      </c>
      <c r="F73" s="14"/>
      <c r="G73" s="14" t="s">
        <v>273</v>
      </c>
      <c r="H73" s="15"/>
    </row>
    <row r="74" spans="1:8" ht="15.75">
      <c r="A74" s="18">
        <v>311980086000</v>
      </c>
      <c r="B74" s="1" t="s">
        <v>275</v>
      </c>
      <c r="C74" s="13" t="s">
        <v>275</v>
      </c>
      <c r="D74" s="13"/>
      <c r="E74" s="10">
        <f>SUMIFS(出入庫!F:F, 出入庫!E:E, "出庫", 出入庫!B:B, 表格2_456[[#This Row],[料號]], 出入庫!G:G, "不良品")</f>
        <v>0</v>
      </c>
      <c r="F74" s="14"/>
      <c r="G74" s="14" t="s">
        <v>274</v>
      </c>
      <c r="H74" s="15"/>
    </row>
    <row r="75" spans="1:8" ht="15.75">
      <c r="A75" s="18">
        <v>990000000020</v>
      </c>
      <c r="B75" s="1" t="s">
        <v>277</v>
      </c>
      <c r="C75" s="13" t="s">
        <v>277</v>
      </c>
      <c r="D75" s="13"/>
      <c r="E75" s="10">
        <f>SUMIFS(出入庫!F:F, 出入庫!E:E, "出庫", 出入庫!B:B, 表格2_456[[#This Row],[料號]], 出入庫!G:G, "不良品")</f>
        <v>0</v>
      </c>
      <c r="F75" s="14"/>
      <c r="G75" s="14" t="s">
        <v>276</v>
      </c>
      <c r="H75" s="15"/>
    </row>
    <row r="76" spans="1:8" ht="15.75">
      <c r="A76" s="18">
        <v>990000000021</v>
      </c>
      <c r="B76" s="1" t="s">
        <v>278</v>
      </c>
      <c r="C76" s="13" t="s">
        <v>278</v>
      </c>
      <c r="D76" s="13"/>
      <c r="E76" s="10">
        <f>SUMIFS(出入庫!F:F, 出入庫!E:E, "出庫", 出入庫!B:B, 表格2_456[[#This Row],[料號]], 出入庫!G:G, "不良品")</f>
        <v>0</v>
      </c>
      <c r="F76" s="14"/>
      <c r="G76" s="14" t="s">
        <v>279</v>
      </c>
      <c r="H76" s="15"/>
    </row>
    <row r="77" spans="1:8" ht="15.75">
      <c r="A77" s="18">
        <v>311400007000</v>
      </c>
      <c r="B77" s="1" t="s">
        <v>280</v>
      </c>
      <c r="C77" s="13" t="s">
        <v>281</v>
      </c>
      <c r="D77" s="13"/>
      <c r="E77" s="10">
        <f>SUMIFS(出入庫!F:F, 出入庫!E:E, "出庫", 出入庫!B:B, 表格2_456[[#This Row],[料號]], 出入庫!G:G, "不良品")</f>
        <v>0</v>
      </c>
      <c r="F77" s="14"/>
      <c r="G77" s="14" t="s">
        <v>282</v>
      </c>
      <c r="H77" s="15"/>
    </row>
    <row r="78" spans="1:8" ht="15.75">
      <c r="A78" s="18">
        <v>990000000022</v>
      </c>
      <c r="B78" s="1" t="s">
        <v>284</v>
      </c>
      <c r="C78" s="13" t="s">
        <v>284</v>
      </c>
      <c r="D78" s="13"/>
      <c r="E78" s="10">
        <f>SUMIFS(出入庫!F:F, 出入庫!E:E, "出庫", 出入庫!B:B, 表格2_456[[#This Row],[料號]], 出入庫!G:G, "不良品")</f>
        <v>0</v>
      </c>
      <c r="F78" s="14"/>
      <c r="G78" s="14" t="s">
        <v>285</v>
      </c>
      <c r="H78" s="15"/>
    </row>
    <row r="79" spans="1:8" ht="15.75">
      <c r="A79" s="18">
        <v>990000000023</v>
      </c>
      <c r="B79" s="1" t="s">
        <v>278</v>
      </c>
      <c r="C79" s="13" t="s">
        <v>278</v>
      </c>
      <c r="D79" s="13"/>
      <c r="E79" s="10">
        <f>SUMIFS(出入庫!F:F, 出入庫!E:E, "出庫", 出入庫!B:B, 表格2_456[[#This Row],[料號]], 出入庫!G:G, "不良品")</f>
        <v>0</v>
      </c>
      <c r="F79" s="14"/>
      <c r="G79" s="14" t="s">
        <v>286</v>
      </c>
      <c r="H79" s="15"/>
    </row>
    <row r="80" spans="1:8" ht="15.75">
      <c r="A80" s="18">
        <v>10509006</v>
      </c>
      <c r="B80" s="1" t="s">
        <v>289</v>
      </c>
      <c r="C80" s="13" t="s">
        <v>290</v>
      </c>
      <c r="D80" s="13"/>
      <c r="E80" s="10">
        <f>SUMIFS(出入庫!F:F, 出入庫!E:E, "出庫", 出入庫!B:B, 表格2_456[[#This Row],[料號]], 出入庫!G:G, "不良品")</f>
        <v>0</v>
      </c>
      <c r="F80" s="14"/>
      <c r="G80" s="14" t="s">
        <v>291</v>
      </c>
      <c r="H80" s="15"/>
    </row>
    <row r="81" spans="1:8" ht="15.75">
      <c r="A81" s="18">
        <v>990000000024</v>
      </c>
      <c r="B81" s="1" t="s">
        <v>293</v>
      </c>
      <c r="C81" s="13" t="s">
        <v>293</v>
      </c>
      <c r="D81" s="13"/>
      <c r="E81" s="10">
        <f>SUMIFS(出入庫!F:F, 出入庫!E:E, "出庫", 出入庫!B:B, 表格2_456[[#This Row],[料號]], 出入庫!G:G, "不良品")</f>
        <v>0</v>
      </c>
      <c r="F81" s="14"/>
      <c r="G81" s="14" t="s">
        <v>292</v>
      </c>
      <c r="H81" s="15"/>
    </row>
    <row r="82" spans="1:8" ht="15.75">
      <c r="A82" s="18">
        <v>990000000025</v>
      </c>
      <c r="B82" s="1" t="s">
        <v>295</v>
      </c>
      <c r="C82" s="13" t="s">
        <v>295</v>
      </c>
      <c r="D82" s="13"/>
      <c r="E82" s="10">
        <f>SUMIFS(出入庫!F:F, 出入庫!E:E, "出庫", 出入庫!B:B, 表格2_456[[#This Row],[料號]], 出入庫!G:G, "不良品")</f>
        <v>0</v>
      </c>
      <c r="F82" s="14"/>
      <c r="G82" s="14" t="s">
        <v>294</v>
      </c>
      <c r="H82" s="15"/>
    </row>
    <row r="83" spans="1:8" ht="15.75">
      <c r="A83" s="18">
        <v>319600056004</v>
      </c>
      <c r="B83" s="1" t="s">
        <v>300</v>
      </c>
      <c r="C83" s="13" t="s">
        <v>301</v>
      </c>
      <c r="D83" s="13"/>
      <c r="E83" s="10">
        <f>SUMIFS(出入庫!F:F, 出入庫!E:E, "出庫", 出入庫!B:B, 表格2_456[[#This Row],[料號]], 出入庫!G:G, "不良品")</f>
        <v>0</v>
      </c>
      <c r="F83" s="14"/>
      <c r="G83" s="14" t="s">
        <v>299</v>
      </c>
      <c r="H83" s="15"/>
    </row>
    <row r="84" spans="1:8" ht="15.75">
      <c r="A84" s="18">
        <v>319600053004</v>
      </c>
      <c r="B84" s="1" t="s">
        <v>302</v>
      </c>
      <c r="C84" s="13" t="s">
        <v>303</v>
      </c>
      <c r="D84" s="13"/>
      <c r="E84" s="10">
        <f>SUMIFS(出入庫!F:F, 出入庫!E:E, "出庫", 出入庫!B:B, 表格2_456[[#This Row],[料號]], 出入庫!G:G, "不良品")</f>
        <v>0</v>
      </c>
      <c r="F84" s="14"/>
      <c r="G84" s="14" t="s">
        <v>298</v>
      </c>
      <c r="H84" s="15"/>
    </row>
    <row r="85" spans="1:8" ht="15.75">
      <c r="A85" s="18">
        <v>990000000026</v>
      </c>
      <c r="B85" s="1" t="s">
        <v>305</v>
      </c>
      <c r="C85" s="1" t="s">
        <v>305</v>
      </c>
      <c r="D85" s="1"/>
      <c r="E85" s="10">
        <f>SUMIFS(出入庫!F:F, 出入庫!E:E, "出庫", 出入庫!B:B, 表格2_456[[#This Row],[料號]], 出入庫!G:G, "不良品")</f>
        <v>0</v>
      </c>
      <c r="F85" s="14"/>
      <c r="G85" s="14" t="s">
        <v>304</v>
      </c>
      <c r="H85" s="15"/>
    </row>
    <row r="86" spans="1:8" ht="15.75">
      <c r="A86" s="18">
        <v>41000022</v>
      </c>
      <c r="B86" s="1" t="s">
        <v>307</v>
      </c>
      <c r="C86" s="13" t="s">
        <v>307</v>
      </c>
      <c r="D86" s="13"/>
      <c r="E86" s="10">
        <f>SUMIFS(出入庫!F:F, 出入庫!E:E, "出庫", 出入庫!B:B, 表格2_456[[#This Row],[料號]], 出入庫!G:G, "不良品")</f>
        <v>0</v>
      </c>
      <c r="F86" s="14"/>
      <c r="G86" s="14" t="s">
        <v>306</v>
      </c>
      <c r="H86" s="15"/>
    </row>
  </sheetData>
  <sheetProtection algorithmName="SHA-512" hashValue="OlzjljvMCYm9BfRYAvTrjlyrkpBAlztLp9M2a9t3CvWa+/VPpqGaE0zIgsVnhiOnp/Qfeo2LYD3ynJJlelc5rQ==" saltValue="F3IYvaRHGwUTM0irlrvrFg==" spinCount="100000" sheet="1" objects="1" scenarios="1"/>
  <phoneticPr fontId="1" type="noConversion"/>
  <conditionalFormatting sqref="A1:A1048576">
    <cfRule type="duplicateValues" dxfId="20" priority="2"/>
  </conditionalFormatting>
  <conditionalFormatting sqref="G1:G1048576">
    <cfRule type="duplicateValues" dxfId="19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654F-B187-45C2-A741-21D8109C3BFA}">
  <sheetPr codeName="工作表4"/>
  <dimension ref="A1:E8"/>
  <sheetViews>
    <sheetView workbookViewId="0">
      <selection activeCell="H8" sqref="H8"/>
    </sheetView>
  </sheetViews>
  <sheetFormatPr defaultColWidth="8.85546875" defaultRowHeight="15"/>
  <cols>
    <col min="1" max="3" width="10.7109375" style="3" customWidth="1"/>
    <col min="4" max="4" width="13.78515625" style="3" customWidth="1"/>
    <col min="5" max="5" width="7.35546875" style="3" bestFit="1" customWidth="1"/>
    <col min="6" max="6" width="8.7109375" style="3" bestFit="1" customWidth="1"/>
    <col min="7" max="16384" width="8.85546875" style="3"/>
  </cols>
  <sheetData>
    <row r="1" spans="1:5">
      <c r="A1" s="3" t="s">
        <v>4</v>
      </c>
      <c r="B1" s="3" t="s">
        <v>6</v>
      </c>
      <c r="D1" s="3" t="s">
        <v>6</v>
      </c>
    </row>
    <row r="2" spans="1:5">
      <c r="A2" s="2" t="s">
        <v>7</v>
      </c>
      <c r="B2" s="2" t="s">
        <v>9</v>
      </c>
      <c r="C2" s="3" t="str" cm="1">
        <f t="array" ref="C2:C7">_xlfn.UNIQUE(_xlfn._xlws.FILTER(B2:INDEX(B:B, COUNTA(B:B)), B2:INDEX(B:B, COUNTA(B:B))&lt;&gt;""))</f>
        <v>新購</v>
      </c>
      <c r="D2" s="2" t="s">
        <v>334</v>
      </c>
      <c r="E2" s="3" t="str" cm="1">
        <f t="array" ref="E2:E6">_xlfn.UNIQUE(_xlfn._xlws.FILTER(D2:INDEX(D:D, COUNTA(D:D)), D2:INDEX(D:D, COUNTA(D:D))&lt;&gt;""))</f>
        <v>上齊</v>
      </c>
    </row>
    <row r="3" spans="1:5">
      <c r="A3" s="2"/>
      <c r="B3" s="2" t="s">
        <v>11</v>
      </c>
      <c r="C3" s="3" t="str">
        <v>盤點</v>
      </c>
      <c r="D3" s="8" t="s">
        <v>335</v>
      </c>
      <c r="E3" s="3" t="str">
        <v>治具庫</v>
      </c>
    </row>
    <row r="4" spans="1:5">
      <c r="A4" s="8"/>
      <c r="B4" s="8" t="s">
        <v>21</v>
      </c>
      <c r="C4" s="3" t="str">
        <v>線上</v>
      </c>
      <c r="D4" s="8" t="s">
        <v>21</v>
      </c>
      <c r="E4" s="3" t="str">
        <v>線上</v>
      </c>
    </row>
    <row r="5" spans="1:5">
      <c r="A5" s="8"/>
      <c r="B5" s="8" t="s">
        <v>17</v>
      </c>
      <c r="C5" s="3" t="str">
        <v>睿均</v>
      </c>
      <c r="D5" s="8" t="s">
        <v>17</v>
      </c>
      <c r="E5" s="3" t="str">
        <v>睿均</v>
      </c>
    </row>
    <row r="6" spans="1:5">
      <c r="A6" s="8"/>
      <c r="B6" s="8" t="s">
        <v>18</v>
      </c>
      <c r="C6" s="3" t="str">
        <v>不良品</v>
      </c>
      <c r="D6" s="8" t="s">
        <v>18</v>
      </c>
      <c r="E6" s="3" t="str">
        <v>不良品</v>
      </c>
    </row>
    <row r="7" spans="1:5">
      <c r="A7" s="8"/>
      <c r="B7" s="8" t="s">
        <v>59</v>
      </c>
      <c r="C7" s="3" t="str">
        <v>退庫</v>
      </c>
      <c r="D7" s="8"/>
    </row>
    <row r="8" spans="1:5">
      <c r="A8" s="8"/>
      <c r="B8" s="8"/>
    </row>
  </sheetData>
  <sheetProtection algorithmName="SHA-512" hashValue="aLL1Xsp3B6rmgzI8dPnkvtxctxblNa0CGeB7PTrJtGv0BgnaIoJe0PNEULx763CC6dS7Ks/9GM47Ie2igbguwA==" saltValue="rRJLSkDgHKKxDeG+awHFqA==" spinCount="100000" sheet="1" objects="1" scenarios="1"/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12AF-C6B4-4F43-991F-C830B0E3F48F}">
  <sheetPr codeName="工作表7"/>
  <dimension ref="A1:D27"/>
  <sheetViews>
    <sheetView topLeftCell="A16" workbookViewId="0">
      <selection activeCell="B23" sqref="B23"/>
    </sheetView>
  </sheetViews>
  <sheetFormatPr defaultRowHeight="15"/>
  <cols>
    <col min="1" max="1" width="9.7109375" bestFit="1" customWidth="1"/>
    <col min="2" max="2" width="71.140625" bestFit="1" customWidth="1"/>
    <col min="3" max="3" width="28.7109375" bestFit="1" customWidth="1"/>
  </cols>
  <sheetData>
    <row r="1" spans="1:4">
      <c r="A1" s="27" t="s">
        <v>0</v>
      </c>
      <c r="B1" s="2" t="s">
        <v>28</v>
      </c>
      <c r="C1" s="2" t="s">
        <v>29</v>
      </c>
      <c r="D1" s="2" t="s">
        <v>36</v>
      </c>
    </row>
    <row r="2" spans="1:4">
      <c r="A2" s="28">
        <v>45670</v>
      </c>
      <c r="B2" s="29" t="s">
        <v>22</v>
      </c>
      <c r="C2" s="2"/>
      <c r="D2" s="2" t="s">
        <v>35</v>
      </c>
    </row>
    <row r="3" spans="1:4">
      <c r="A3" s="28">
        <v>45671</v>
      </c>
      <c r="B3" s="29" t="s">
        <v>20</v>
      </c>
      <c r="C3" s="2"/>
      <c r="D3" s="2" t="s">
        <v>195</v>
      </c>
    </row>
    <row r="4" spans="1:4">
      <c r="A4" s="28">
        <v>45672</v>
      </c>
      <c r="B4" s="29" t="s">
        <v>24</v>
      </c>
      <c r="C4" s="2"/>
      <c r="D4" s="2" t="s">
        <v>196</v>
      </c>
    </row>
    <row r="5" spans="1:4">
      <c r="A5" s="28">
        <v>45673</v>
      </c>
      <c r="B5" s="2" t="s">
        <v>25</v>
      </c>
      <c r="C5" s="2" t="s">
        <v>31</v>
      </c>
      <c r="D5" s="2" t="s">
        <v>37</v>
      </c>
    </row>
    <row r="6" spans="1:4">
      <c r="A6" s="28">
        <v>45674</v>
      </c>
      <c r="B6" s="29" t="s">
        <v>23</v>
      </c>
      <c r="C6" s="2" t="s">
        <v>41</v>
      </c>
      <c r="D6" s="2" t="s">
        <v>38</v>
      </c>
    </row>
    <row r="7" spans="1:4">
      <c r="A7" s="28">
        <v>45677</v>
      </c>
      <c r="B7" s="2" t="s">
        <v>26</v>
      </c>
      <c r="C7" s="2"/>
      <c r="D7" s="2" t="s">
        <v>39</v>
      </c>
    </row>
    <row r="8" spans="1:4">
      <c r="A8" s="28">
        <v>45678</v>
      </c>
      <c r="B8" s="2" t="s">
        <v>27</v>
      </c>
      <c r="C8" s="2" t="s">
        <v>30</v>
      </c>
      <c r="D8" s="2" t="s">
        <v>40</v>
      </c>
    </row>
    <row r="9" spans="1:4">
      <c r="A9" s="28">
        <v>45708</v>
      </c>
      <c r="B9" s="2" t="s">
        <v>111</v>
      </c>
      <c r="C9" s="2"/>
      <c r="D9" s="2" t="s">
        <v>45</v>
      </c>
    </row>
    <row r="10" spans="1:4">
      <c r="A10" s="28">
        <v>45708</v>
      </c>
      <c r="B10" s="2" t="s">
        <v>112</v>
      </c>
      <c r="C10" s="2"/>
      <c r="D10" s="2" t="s">
        <v>69</v>
      </c>
    </row>
    <row r="11" spans="1:4">
      <c r="A11" s="28">
        <v>45708</v>
      </c>
      <c r="B11" s="2" t="s">
        <v>197</v>
      </c>
      <c r="C11" s="2" t="s">
        <v>71</v>
      </c>
      <c r="D11" s="2" t="s">
        <v>72</v>
      </c>
    </row>
    <row r="12" spans="1:4">
      <c r="A12" s="28">
        <v>45709</v>
      </c>
      <c r="B12" s="2" t="s">
        <v>113</v>
      </c>
      <c r="C12" s="2"/>
      <c r="D12" s="2" t="s">
        <v>312</v>
      </c>
    </row>
    <row r="13" spans="1:4">
      <c r="A13" s="28">
        <v>45709</v>
      </c>
      <c r="B13" s="2" t="s">
        <v>114</v>
      </c>
      <c r="C13" s="2"/>
      <c r="D13" s="2" t="s">
        <v>313</v>
      </c>
    </row>
    <row r="14" spans="1:4">
      <c r="A14" s="28">
        <v>45712</v>
      </c>
      <c r="B14" s="2" t="s">
        <v>110</v>
      </c>
      <c r="C14" s="2"/>
      <c r="D14" s="2" t="s">
        <v>314</v>
      </c>
    </row>
    <row r="15" spans="1:4">
      <c r="A15" s="28">
        <v>45713</v>
      </c>
      <c r="B15" s="2" t="s">
        <v>129</v>
      </c>
      <c r="C15" s="2"/>
      <c r="D15" s="2" t="s">
        <v>315</v>
      </c>
    </row>
    <row r="16" spans="1:4">
      <c r="A16" s="28">
        <v>45713</v>
      </c>
      <c r="B16" s="2" t="s">
        <v>131</v>
      </c>
      <c r="C16" s="2" t="s">
        <v>132</v>
      </c>
      <c r="D16" s="2" t="s">
        <v>316</v>
      </c>
    </row>
    <row r="17" spans="1:4">
      <c r="A17" s="28">
        <v>45713</v>
      </c>
      <c r="B17" s="2" t="s">
        <v>130</v>
      </c>
      <c r="C17" s="2"/>
      <c r="D17" s="2" t="s">
        <v>322</v>
      </c>
    </row>
    <row r="18" spans="1:4">
      <c r="A18" s="28">
        <v>45722</v>
      </c>
      <c r="B18" s="3" t="s">
        <v>241</v>
      </c>
      <c r="C18" s="2"/>
      <c r="D18" s="2" t="s">
        <v>322</v>
      </c>
    </row>
    <row r="19" spans="1:4">
      <c r="A19" s="28">
        <v>45722</v>
      </c>
      <c r="B19" s="2" t="s">
        <v>239</v>
      </c>
      <c r="C19" s="34"/>
      <c r="D19" s="2" t="s">
        <v>322</v>
      </c>
    </row>
    <row r="20" spans="1:4">
      <c r="A20" s="35">
        <v>45726</v>
      </c>
      <c r="B20" s="34" t="s">
        <v>240</v>
      </c>
      <c r="C20" s="34"/>
      <c r="D20" s="2" t="s">
        <v>317</v>
      </c>
    </row>
    <row r="21" spans="1:4">
      <c r="A21" s="35">
        <v>45733</v>
      </c>
      <c r="B21" s="34" t="s">
        <v>311</v>
      </c>
      <c r="C21" s="34"/>
      <c r="D21" s="2" t="s">
        <v>318</v>
      </c>
    </row>
    <row r="22" spans="1:4">
      <c r="A22" s="35">
        <v>45733</v>
      </c>
      <c r="B22" s="34" t="s">
        <v>310</v>
      </c>
      <c r="C22" s="34"/>
      <c r="D22" s="2" t="s">
        <v>319</v>
      </c>
    </row>
    <row r="23" spans="1:4">
      <c r="A23" s="35">
        <v>45747</v>
      </c>
      <c r="B23" s="34" t="s">
        <v>309</v>
      </c>
      <c r="C23" s="36"/>
      <c r="D23" s="2" t="s">
        <v>320</v>
      </c>
    </row>
    <row r="24" spans="1:4">
      <c r="A24" s="28">
        <v>45755</v>
      </c>
      <c r="B24" s="2" t="s">
        <v>323</v>
      </c>
      <c r="C24" s="2"/>
      <c r="D24" s="2" t="s">
        <v>321</v>
      </c>
    </row>
    <row r="25" spans="1:4">
      <c r="A25" s="28">
        <v>45758</v>
      </c>
      <c r="B25" s="2" t="s">
        <v>324</v>
      </c>
      <c r="C25" s="2"/>
      <c r="D25" s="2" t="s">
        <v>326</v>
      </c>
    </row>
    <row r="26" spans="1:4">
      <c r="A26" s="28">
        <v>45762</v>
      </c>
      <c r="B26" s="2" t="s">
        <v>325</v>
      </c>
      <c r="C26" s="2"/>
      <c r="D26" s="2" t="s">
        <v>336</v>
      </c>
    </row>
    <row r="27" spans="1:4">
      <c r="A27" s="28">
        <v>45768</v>
      </c>
      <c r="B27" s="2" t="s">
        <v>338</v>
      </c>
      <c r="C27" s="2"/>
      <c r="D27" s="2" t="s">
        <v>337</v>
      </c>
    </row>
  </sheetData>
  <sheetProtection algorithmName="SHA-512" hashValue="D0BqMC1ugbFQNfojgXBrAZy7yOwsRywf67zjirZ1Cx0h3cB7OFrcae6qYy0UGKclpYRQGhIhqqydiqGAtMy/Zw==" saltValue="fV9reS3vUitosG15sUZYY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</vt:i4>
      </vt:variant>
    </vt:vector>
  </HeadingPairs>
  <TitlesOfParts>
    <vt:vector size="10" baseType="lpstr">
      <vt:lpstr>首頁</vt:lpstr>
      <vt:lpstr>出入庫</vt:lpstr>
      <vt:lpstr>上齊</vt:lpstr>
      <vt:lpstr>治具庫</vt:lpstr>
      <vt:lpstr>線上</vt:lpstr>
      <vt:lpstr>睿均</vt:lpstr>
      <vt:lpstr>不良品</vt:lpstr>
      <vt:lpstr>數據庫</vt:lpstr>
      <vt:lpstr>Log</vt:lpstr>
      <vt:lpstr>庫存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謝瑞平</dc:creator>
  <cp:lastModifiedBy>Castles Nelson</cp:lastModifiedBy>
  <dcterms:created xsi:type="dcterms:W3CDTF">2015-06-05T18:19:34Z</dcterms:created>
  <dcterms:modified xsi:type="dcterms:W3CDTF">2025-04-25T10:19:49Z</dcterms:modified>
</cp:coreProperties>
</file>